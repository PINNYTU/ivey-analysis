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emand" sheetId="2" state="visible" r:id="rId2"/>
    <sheet name="Summary" sheetId="3" state="visible" r:id="rId3"/>
    <sheet name="S1_D1_Retailer" sheetId="4" state="hidden" r:id="rId4"/>
    <sheet name="S1_D1_Wholesaler" sheetId="5" state="hidden" r:id="rId5"/>
    <sheet name="S1_D1_Distributor" sheetId="6" state="hidden" r:id="rId6"/>
    <sheet name="S1_D1_Factory" sheetId="7" state="hidden" r:id="rId7"/>
    <sheet name="S1_D2_Retailer" sheetId="8" state="hidden" r:id="rId8"/>
    <sheet name="S1_D2_Wholesaler" sheetId="9" state="hidden" r:id="rId9"/>
    <sheet name="S1_D2_Distributor" sheetId="10" state="hidden" r:id="rId10"/>
    <sheet name="S1_D2_Factory" sheetId="11" state="hidden" r:id="rId11"/>
    <sheet name="S1_D3_Retailer" sheetId="12" state="hidden" r:id="rId12"/>
    <sheet name="S1_D3_Wholesaler" sheetId="13" state="hidden" r:id="rId13"/>
    <sheet name="S1_D3_Distributor" sheetId="14" state="hidden" r:id="rId14"/>
    <sheet name="S1_D3_Factory" sheetId="15" state="hidden" r:id="rId15"/>
    <sheet name="Scn1_View" sheetId="16" state="visible" r:id="rId16"/>
    <sheet name="S2_D1_Retailer" sheetId="17" state="hidden" r:id="rId17"/>
    <sheet name="S2_D1_Wholesaler" sheetId="18" state="hidden" r:id="rId18"/>
    <sheet name="S2_D1_Distributor" sheetId="19" state="hidden" r:id="rId19"/>
    <sheet name="S2_D1_Factory" sheetId="20" state="hidden" r:id="rId20"/>
    <sheet name="S2_D2_Retailer" sheetId="21" state="hidden" r:id="rId21"/>
    <sheet name="S2_D2_Wholesaler" sheetId="22" state="hidden" r:id="rId22"/>
    <sheet name="S2_D2_Distributor" sheetId="23" state="hidden" r:id="rId23"/>
    <sheet name="S2_D2_Factory" sheetId="24" state="hidden" r:id="rId24"/>
    <sheet name="S2_D3_Retailer" sheetId="25" state="hidden" r:id="rId25"/>
    <sheet name="S2_D3_Wholesaler" sheetId="26" state="hidden" r:id="rId26"/>
    <sheet name="S2_D3_Distributor" sheetId="27" state="hidden" r:id="rId27"/>
    <sheet name="S2_D3_Factory" sheetId="28" state="hidden" r:id="rId28"/>
    <sheet name="Scn2_View" sheetId="29" state="visible" r:id="rId29"/>
    <sheet name="S3_D1_Retailer" sheetId="30" state="hidden" r:id="rId30"/>
    <sheet name="S3_D1_Wholesaler" sheetId="31" state="hidden" r:id="rId31"/>
    <sheet name="S3_D1_Distributor" sheetId="32" state="hidden" r:id="rId32"/>
    <sheet name="S3_D1_Factory" sheetId="33" state="hidden" r:id="rId33"/>
    <sheet name="S3_D2_Retailer" sheetId="34" state="hidden" r:id="rId34"/>
    <sheet name="S3_D2_Wholesaler" sheetId="35" state="hidden" r:id="rId35"/>
    <sheet name="S3_D2_Distributor" sheetId="36" state="hidden" r:id="rId36"/>
    <sheet name="S3_D2_Factory" sheetId="37" state="hidden" r:id="rId37"/>
    <sheet name="S3_D3_Retailer" sheetId="38" state="hidden" r:id="rId38"/>
    <sheet name="S3_D3_Wholesaler" sheetId="39" state="hidden" r:id="rId39"/>
    <sheet name="S3_D3_Distributor" sheetId="40" state="hidden" r:id="rId40"/>
    <sheet name="S3_D3_Factory" sheetId="41" state="hidden" r:id="rId41"/>
    <sheet name="Scn3_View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3">
      <c r="A3" t="inlineStr">
        <is>
          <t>InvCost</t>
        </is>
      </c>
      <c r="B3" t="n">
        <v>0.25</v>
      </c>
    </row>
    <row r="4">
      <c r="A4" t="inlineStr">
        <is>
          <t>BackCost</t>
        </is>
      </c>
      <c r="B4" t="n">
        <v>1</v>
      </c>
    </row>
    <row r="5">
      <c r="A5" t="inlineStr">
        <is>
          <t>ExpectedDemand</t>
        </is>
      </c>
      <c r="B5" t="n">
        <v>100</v>
      </c>
    </row>
    <row r="6">
      <c r="A6" t="inlineStr">
        <is>
          <t>OrderDelay</t>
        </is>
      </c>
      <c r="B6" t="n">
        <v>2</v>
      </c>
    </row>
    <row r="7">
      <c r="A7" t="inlineStr">
        <is>
          <t>ShipDelay</t>
        </is>
      </c>
      <c r="B7" t="n">
        <v>2</v>
      </c>
    </row>
    <row r="8">
      <c r="A8" t="inlineStr">
        <is>
          <t>ProdDelay</t>
        </is>
      </c>
      <c r="B8" t="n">
        <v>2</v>
      </c>
    </row>
    <row r="10">
      <c r="A10" t="inlineStr">
        <is>
          <t>Mode</t>
        </is>
      </c>
      <c r="B10" t="inlineStr">
        <is>
          <t>Auto</t>
        </is>
      </c>
    </row>
    <row r="11">
      <c r="A11" t="inlineStr">
        <is>
          <t>ScenarioIndex</t>
        </is>
      </c>
      <c r="B11" t="n">
        <v>1</v>
      </c>
    </row>
    <row r="12">
      <c r="A12" t="inlineStr">
        <is>
          <t>DemandLevel (1=Low,2=Base,3=High)</t>
        </is>
      </c>
      <c r="B12" t="n">
        <v>2</v>
      </c>
    </row>
    <row r="13">
      <c r="A13" t="inlineStr">
        <is>
          <t>TargetWeeks_Retailer</t>
        </is>
      </c>
      <c r="B13">
        <f>INDEX($C$27:$F$29,$B$11,1)</f>
        <v/>
      </c>
    </row>
    <row r="14">
      <c r="A14" t="inlineStr">
        <is>
          <t>TargetWeeks_Wholesaler</t>
        </is>
      </c>
      <c r="B14">
        <f>INDEX($C$27:$F$29,$B$11,2)</f>
        <v/>
      </c>
    </row>
    <row r="15">
      <c r="A15" t="inlineStr">
        <is>
          <t>TargetWeeks_Distributor</t>
        </is>
      </c>
      <c r="B15">
        <f>INDEX($C$27:$F$29,$B$11,3)</f>
        <v/>
      </c>
    </row>
    <row r="16">
      <c r="A16" t="inlineStr">
        <is>
          <t>TargetWeeks_Factory</t>
        </is>
      </c>
      <c r="B16">
        <f>INDEX($C$27:$F$29,$B$11,4)</f>
        <v/>
      </c>
    </row>
    <row r="18">
      <c r="A18" t="inlineStr">
        <is>
          <t>InitialInventory</t>
        </is>
      </c>
      <c r="B18" t="n">
        <v>100</v>
      </c>
    </row>
    <row r="19">
      <c r="A19" t="inlineStr">
        <is>
          <t>InitialShipPipe1</t>
        </is>
      </c>
      <c r="B19" t="n">
        <v>50</v>
      </c>
    </row>
    <row r="20">
      <c r="A20" t="inlineStr">
        <is>
          <t>InitialShipPipe2</t>
        </is>
      </c>
      <c r="B20" t="n">
        <v>50</v>
      </c>
    </row>
    <row r="21">
      <c r="A21" t="inlineStr">
        <is>
          <t>InitialOrderPipe1</t>
        </is>
      </c>
      <c r="B21" t="n">
        <v>0</v>
      </c>
    </row>
    <row r="22">
      <c r="A22" t="inlineStr">
        <is>
          <t>InitialOrderPipe2</t>
        </is>
      </c>
      <c r="B22" t="n">
        <v>0</v>
      </c>
    </row>
    <row r="23">
      <c r="A23" t="inlineStr">
        <is>
          <t>DefaultOrderWeek1</t>
        </is>
      </c>
      <c r="B23" t="n">
        <v>100</v>
      </c>
    </row>
    <row r="24">
      <c r="A24" t="inlineStr">
        <is>
          <t>ScenarioName</t>
        </is>
      </c>
      <c r="B24">
        <f>INDEX($B$27:$B$29,$B$11)</f>
        <v/>
      </c>
    </row>
    <row r="25">
      <c r="A25" t="inlineStr">
        <is>
          <t>DemandLevelName</t>
        </is>
      </c>
      <c r="B25">
        <f>CHOOSE($B$12,"Low","Base","High")</f>
        <v/>
      </c>
    </row>
    <row r="26">
      <c r="A26" t="inlineStr">
        <is>
          <t>ScenarioIndex</t>
        </is>
      </c>
      <c r="B26" t="inlineStr">
        <is>
          <t>ScenarioName</t>
        </is>
      </c>
      <c r="C26" t="inlineStr">
        <is>
          <t>TargetWeeks_Retailer</t>
        </is>
      </c>
      <c r="D26" t="inlineStr">
        <is>
          <t>TargetWeeks_Wholesaler</t>
        </is>
      </c>
      <c r="E26" t="inlineStr">
        <is>
          <t>TargetWeeks_Distributor</t>
        </is>
      </c>
      <c r="F26" t="inlineStr">
        <is>
          <t>TargetWeeks_Factory</t>
        </is>
      </c>
      <c r="G26" t="inlineStr">
        <is>
          <t>Notes</t>
        </is>
      </c>
    </row>
    <row r="27">
      <c r="A27" t="n">
        <v>1</v>
      </c>
      <c r="B27" t="inlineStr">
        <is>
          <t>Simulation - Scenario 1 - HighInv</t>
        </is>
      </c>
      <c r="C27" t="n">
        <v>4</v>
      </c>
      <c r="D27" t="n">
        <v>4</v>
      </c>
      <c r="E27" t="n">
        <v>8</v>
      </c>
      <c r="F27" t="n">
        <v>8</v>
      </c>
      <c r="G27" t="inlineStr">
        <is>
          <t>High inventory, lowest risk of backlog</t>
        </is>
      </c>
    </row>
    <row r="28">
      <c r="A28" t="n">
        <v>2</v>
      </c>
      <c r="B28" t="inlineStr">
        <is>
          <t>Simulation - Scenario 2 - Balanced</t>
        </is>
      </c>
      <c r="C28" t="n">
        <v>2</v>
      </c>
      <c r="D28" t="n">
        <v>4</v>
      </c>
      <c r="E28" t="n">
        <v>5</v>
      </c>
      <c r="F28" t="n">
        <v>5</v>
      </c>
      <c r="G28" t="inlineStr">
        <is>
          <t>Balanced inventory and backlog tradeoff</t>
        </is>
      </c>
    </row>
    <row r="29">
      <c r="A29" t="n">
        <v>3</v>
      </c>
      <c r="B29" t="inlineStr">
        <is>
          <t>Simulation - Scenario 3 - MinCost</t>
        </is>
      </c>
      <c r="C29" t="n">
        <v>1</v>
      </c>
      <c r="D29" t="n">
        <v>4</v>
      </c>
      <c r="E29" t="n">
        <v>5</v>
      </c>
      <c r="F29" t="n">
        <v>6</v>
      </c>
      <c r="G29" t="inlineStr">
        <is>
          <t>Cost-focused baseline policy (editable)</t>
        </is>
      </c>
    </row>
    <row r="31">
      <c r="A31" t="inlineStr">
        <is>
          <t>Scenario Summary</t>
        </is>
      </c>
    </row>
    <row r="32">
      <c r="A32" t="inlineStr">
        <is>
          <t>Scenario</t>
        </is>
      </c>
      <c r="B32" t="inlineStr">
        <is>
          <t>Demand Used</t>
        </is>
      </c>
      <c r="C32" t="inlineStr">
        <is>
          <t>Policy Intent</t>
        </is>
      </c>
      <c r="D32" t="inlineStr">
        <is>
          <t>Weekly KPI</t>
        </is>
      </c>
      <c r="E32" t="inlineStr">
        <is>
          <t>Final KPI</t>
        </is>
      </c>
    </row>
    <row r="33">
      <c r="A33" t="inlineStr">
        <is>
          <t>Simulation - Scenario 1 - HighInv</t>
        </is>
      </c>
      <c r="B33" t="inlineStr">
        <is>
          <t>Selected in Inputs (Low/Base/High)</t>
        </is>
      </c>
      <c r="C33" t="inlineStr">
        <is>
          <t>Reduce backlog risk</t>
        </is>
      </c>
      <c r="D33" t="inlineStr">
        <is>
          <t>TotInvCost + TotBackCost (= TotWeekCost)</t>
        </is>
      </c>
      <c r="E33">
        <f>Scn1_View!AS39</f>
        <v/>
      </c>
    </row>
    <row r="34">
      <c r="A34" t="inlineStr">
        <is>
          <t>Simulation - Scenario 2 - Balanced</t>
        </is>
      </c>
      <c r="B34" t="inlineStr">
        <is>
          <t>Selected in Inputs (Low/Base/High)</t>
        </is>
      </c>
      <c r="C34" t="inlineStr">
        <is>
          <t>Balance inventory and backlog</t>
        </is>
      </c>
      <c r="D34" t="inlineStr">
        <is>
          <t>TotInvCost + TotBackCost (= TotWeekCost)</t>
        </is>
      </c>
      <c r="E34">
        <f>Scn2_View!AS39</f>
        <v/>
      </c>
    </row>
    <row r="35">
      <c r="A35" t="inlineStr">
        <is>
          <t>Simulation - Scenario 3 - MinCost</t>
        </is>
      </c>
      <c r="B35" t="inlineStr">
        <is>
          <t>Selected in Inputs (Low/Base/High)</t>
        </is>
      </c>
      <c r="C35" t="inlineStr">
        <is>
          <t>Minimize total cost</t>
        </is>
      </c>
      <c r="D35" t="inlineStr">
        <is>
          <t>TotInvCost + TotBackCost (= TotWeekCost)</t>
        </is>
      </c>
      <c r="E35">
        <f>Scn3_View!AS39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BaseDemand</t>
        </is>
      </c>
      <c r="C1" t="inlineStr">
        <is>
          <t>LowDemand</t>
        </is>
      </c>
      <c r="D1" t="inlineStr">
        <is>
          <t>HighDemand</t>
        </is>
      </c>
      <c r="E1" t="inlineStr">
        <is>
          <t>ActiveDemand</t>
        </is>
      </c>
    </row>
    <row r="2">
      <c r="A2" t="n">
        <v>1</v>
      </c>
      <c r="B2" t="n">
        <v>100</v>
      </c>
      <c r="C2" t="n">
        <v>64</v>
      </c>
      <c r="D2" t="n">
        <v>91</v>
      </c>
      <c r="E2">
        <f>CHOOSE(Inputs!$B$12,C2,B2,D2)</f>
        <v/>
      </c>
    </row>
    <row r="3">
      <c r="A3" t="n">
        <v>2</v>
      </c>
      <c r="B3" t="n">
        <v>100</v>
      </c>
      <c r="C3" t="n">
        <v>96</v>
      </c>
      <c r="D3" t="n">
        <v>139</v>
      </c>
      <c r="E3">
        <f>CHOOSE(Inputs!$B$12,C3,B3,D3)</f>
        <v/>
      </c>
    </row>
    <row r="4">
      <c r="A4" t="n">
        <v>3</v>
      </c>
      <c r="B4" t="n">
        <v>100</v>
      </c>
      <c r="C4" t="n">
        <v>76</v>
      </c>
      <c r="D4" t="n">
        <v>109</v>
      </c>
      <c r="E4">
        <f>CHOOSE(Inputs!$B$12,C4,B4,D4)</f>
        <v/>
      </c>
    </row>
    <row r="5">
      <c r="A5" t="n">
        <v>4</v>
      </c>
      <c r="B5" t="n">
        <v>100</v>
      </c>
      <c r="C5" t="n">
        <v>88</v>
      </c>
      <c r="D5" t="n">
        <v>127</v>
      </c>
      <c r="E5">
        <f>CHOOSE(Inputs!$B$12,C5,B5,D5)</f>
        <v/>
      </c>
    </row>
    <row r="6">
      <c r="A6" t="n">
        <v>5</v>
      </c>
      <c r="B6" t="n">
        <v>100</v>
      </c>
      <c r="C6" t="n">
        <v>72</v>
      </c>
      <c r="D6" t="n">
        <v>103</v>
      </c>
      <c r="E6">
        <f>CHOOSE(Inputs!$B$12,C6,B6,D6)</f>
        <v/>
      </c>
    </row>
    <row r="7">
      <c r="A7" t="n">
        <v>6</v>
      </c>
      <c r="B7" t="n">
        <v>100</v>
      </c>
      <c r="C7" t="n">
        <v>104</v>
      </c>
      <c r="D7" t="n">
        <v>151</v>
      </c>
      <c r="E7">
        <f>CHOOSE(Inputs!$B$12,C7,B7,D7)</f>
        <v/>
      </c>
    </row>
    <row r="8">
      <c r="A8" t="n">
        <v>7</v>
      </c>
      <c r="B8" t="n">
        <v>100</v>
      </c>
      <c r="C8" t="n">
        <v>68</v>
      </c>
      <c r="D8" t="n">
        <v>97</v>
      </c>
      <c r="E8">
        <f>CHOOSE(Inputs!$B$12,C8,B8,D8)</f>
        <v/>
      </c>
    </row>
    <row r="9">
      <c r="A9" t="n">
        <v>8</v>
      </c>
      <c r="B9" t="n">
        <v>100</v>
      </c>
      <c r="C9" t="n">
        <v>92</v>
      </c>
      <c r="D9" t="n">
        <v>133</v>
      </c>
      <c r="E9">
        <f>CHOOSE(Inputs!$B$12,C9,B9,D9)</f>
        <v/>
      </c>
    </row>
    <row r="10">
      <c r="A10" t="n">
        <v>9</v>
      </c>
      <c r="B10" t="n">
        <v>100</v>
      </c>
      <c r="C10" t="n">
        <v>80</v>
      </c>
      <c r="D10" t="n">
        <v>115</v>
      </c>
      <c r="E10">
        <f>CHOOSE(Inputs!$B$12,C10,B10,D10)</f>
        <v/>
      </c>
    </row>
    <row r="11">
      <c r="A11" t="n">
        <v>10</v>
      </c>
      <c r="B11" t="n">
        <v>100</v>
      </c>
      <c r="C11" t="n">
        <v>84</v>
      </c>
      <c r="D11" t="n">
        <v>121</v>
      </c>
      <c r="E11">
        <f>CHOOSE(Inputs!$B$12,C11,B11,D11)</f>
        <v/>
      </c>
    </row>
    <row r="12">
      <c r="A12" t="n">
        <v>11</v>
      </c>
      <c r="B12" t="n">
        <v>100</v>
      </c>
      <c r="C12" t="n">
        <v>60</v>
      </c>
      <c r="D12" t="n">
        <v>85</v>
      </c>
      <c r="E12">
        <f>CHOOSE(Inputs!$B$12,C12,B12,D12)</f>
        <v/>
      </c>
    </row>
    <row r="13">
      <c r="A13" t="n">
        <v>12</v>
      </c>
      <c r="B13" t="n">
        <v>100</v>
      </c>
      <c r="C13" t="n">
        <v>100</v>
      </c>
      <c r="D13" t="n">
        <v>145</v>
      </c>
      <c r="E13">
        <f>CHOOSE(Inputs!$B$12,C13,B13,D13)</f>
        <v/>
      </c>
    </row>
    <row r="14">
      <c r="A14" t="n">
        <v>13</v>
      </c>
      <c r="B14" t="n">
        <v>100</v>
      </c>
      <c r="C14" t="n">
        <v>78</v>
      </c>
      <c r="D14" t="n">
        <v>113</v>
      </c>
      <c r="E14">
        <f>CHOOSE(Inputs!$B$12,C14,B14,D14)</f>
        <v/>
      </c>
    </row>
    <row r="15">
      <c r="A15" t="n">
        <v>14</v>
      </c>
      <c r="B15" t="n">
        <v>100</v>
      </c>
      <c r="C15" t="n">
        <v>82</v>
      </c>
      <c r="D15" t="n">
        <v>117</v>
      </c>
      <c r="E15">
        <f>CHOOSE(Inputs!$B$12,C15,B15,D15)</f>
        <v/>
      </c>
    </row>
    <row r="16">
      <c r="A16" t="n">
        <v>15</v>
      </c>
      <c r="B16" t="n">
        <v>100</v>
      </c>
      <c r="C16" t="n">
        <v>70</v>
      </c>
      <c r="D16" t="n">
        <v>101</v>
      </c>
      <c r="E16">
        <f>CHOOSE(Inputs!$B$12,C16,B16,D16)</f>
        <v/>
      </c>
    </row>
    <row r="17">
      <c r="A17" t="n">
        <v>16</v>
      </c>
      <c r="B17" t="n">
        <v>100</v>
      </c>
      <c r="C17" t="n">
        <v>90</v>
      </c>
      <c r="D17" t="n">
        <v>129</v>
      </c>
      <c r="E17">
        <f>CHOOSE(Inputs!$B$12,C17,B17,D17)</f>
        <v/>
      </c>
    </row>
    <row r="18">
      <c r="A18" t="n">
        <v>17</v>
      </c>
      <c r="B18" t="n">
        <v>100</v>
      </c>
      <c r="C18" t="n">
        <v>74</v>
      </c>
      <c r="D18" t="n">
        <v>105</v>
      </c>
      <c r="E18">
        <f>CHOOSE(Inputs!$B$12,C18,B18,D18)</f>
        <v/>
      </c>
    </row>
    <row r="19">
      <c r="A19" t="n">
        <v>18</v>
      </c>
      <c r="B19" t="n">
        <v>100</v>
      </c>
      <c r="C19" t="n">
        <v>86</v>
      </c>
      <c r="D19" t="n">
        <v>125</v>
      </c>
      <c r="E19">
        <f>CHOOSE(Inputs!$B$12,C19,B19,D19)</f>
        <v/>
      </c>
    </row>
    <row r="20">
      <c r="A20" t="n">
        <v>19</v>
      </c>
      <c r="B20" t="n">
        <v>100</v>
      </c>
      <c r="C20" t="n">
        <v>56</v>
      </c>
      <c r="D20" t="n">
        <v>79</v>
      </c>
      <c r="E20">
        <f>CHOOSE(Inputs!$B$12,C20,B20,D20)</f>
        <v/>
      </c>
    </row>
    <row r="21">
      <c r="A21" t="n">
        <v>20</v>
      </c>
      <c r="B21" t="n">
        <v>100</v>
      </c>
      <c r="C21" t="n">
        <v>112</v>
      </c>
      <c r="D21" t="n">
        <v>163</v>
      </c>
      <c r="E21">
        <f>CHOOSE(Inputs!$B$12,C21,B21,D21)</f>
        <v/>
      </c>
    </row>
    <row r="22">
      <c r="A22" t="n">
        <v>21</v>
      </c>
      <c r="B22" t="n">
        <v>100</v>
      </c>
      <c r="C22" t="n">
        <v>77</v>
      </c>
      <c r="D22" t="n">
        <v>110</v>
      </c>
      <c r="E22">
        <f>CHOOSE(Inputs!$B$12,C22,B22,D22)</f>
        <v/>
      </c>
    </row>
    <row r="23">
      <c r="A23" t="n">
        <v>22</v>
      </c>
      <c r="B23" t="n">
        <v>100</v>
      </c>
      <c r="C23" t="n">
        <v>83</v>
      </c>
      <c r="D23" t="n">
        <v>120</v>
      </c>
      <c r="E23">
        <f>CHOOSE(Inputs!$B$12,C23,B23,D23)</f>
        <v/>
      </c>
    </row>
    <row r="24">
      <c r="A24" t="n">
        <v>23</v>
      </c>
      <c r="B24" t="n">
        <v>100</v>
      </c>
      <c r="C24" t="n">
        <v>69</v>
      </c>
      <c r="D24" t="n">
        <v>98</v>
      </c>
      <c r="E24">
        <f>CHOOSE(Inputs!$B$12,C24,B24,D24)</f>
        <v/>
      </c>
    </row>
    <row r="25">
      <c r="A25" t="n">
        <v>24</v>
      </c>
      <c r="B25" t="n">
        <v>100</v>
      </c>
      <c r="C25" t="n">
        <v>91</v>
      </c>
      <c r="D25" t="n">
        <v>132</v>
      </c>
      <c r="E25">
        <f>CHOOSE(Inputs!$B$12,C25,B25,D25)</f>
        <v/>
      </c>
    </row>
    <row r="26">
      <c r="A26" t="n">
        <v>25</v>
      </c>
      <c r="B26" t="n">
        <v>100</v>
      </c>
      <c r="C26" t="n">
        <v>75</v>
      </c>
      <c r="D26" t="n">
        <v>108</v>
      </c>
      <c r="E26">
        <f>CHOOSE(Inputs!$B$12,C26,B26,D26)</f>
        <v/>
      </c>
    </row>
    <row r="27">
      <c r="A27" t="n">
        <v>26</v>
      </c>
      <c r="B27" t="n">
        <v>100</v>
      </c>
      <c r="C27" t="n">
        <v>85</v>
      </c>
      <c r="D27" t="n">
        <v>122</v>
      </c>
      <c r="E27">
        <f>CHOOSE(Inputs!$B$12,C27,B27,D27)</f>
        <v/>
      </c>
    </row>
    <row r="28">
      <c r="A28" t="n">
        <v>27</v>
      </c>
      <c r="B28" t="n">
        <v>100</v>
      </c>
      <c r="C28" t="n">
        <v>66</v>
      </c>
      <c r="D28" t="n">
        <v>93</v>
      </c>
      <c r="E28">
        <f>CHOOSE(Inputs!$B$12,C28,B28,D28)</f>
        <v/>
      </c>
    </row>
    <row r="29">
      <c r="A29" t="n">
        <v>28</v>
      </c>
      <c r="B29" t="n">
        <v>100</v>
      </c>
      <c r="C29" t="n">
        <v>94</v>
      </c>
      <c r="D29" t="n">
        <v>137</v>
      </c>
      <c r="E29">
        <f>CHOOSE(Inputs!$B$12,C29,B29,D29)</f>
        <v/>
      </c>
    </row>
    <row r="30">
      <c r="A30" t="n">
        <v>29</v>
      </c>
      <c r="B30" t="n">
        <v>100</v>
      </c>
      <c r="C30" t="n">
        <v>78</v>
      </c>
      <c r="D30" t="n">
        <v>111</v>
      </c>
      <c r="E30">
        <f>CHOOSE(Inputs!$B$12,C30,B30,D30)</f>
        <v/>
      </c>
    </row>
    <row r="31">
      <c r="A31" t="n">
        <v>30</v>
      </c>
      <c r="B31" t="n">
        <v>100</v>
      </c>
      <c r="C31" t="n">
        <v>82</v>
      </c>
      <c r="D31" t="n">
        <v>119</v>
      </c>
      <c r="E31">
        <f>CHOOSE(Inputs!$B$12,C31,B31,D31)</f>
        <v/>
      </c>
    </row>
    <row r="32">
      <c r="A32" t="n">
        <v>31</v>
      </c>
      <c r="B32" t="n">
        <v>100</v>
      </c>
      <c r="C32" t="n">
        <v>71</v>
      </c>
      <c r="D32" t="n">
        <v>102</v>
      </c>
      <c r="E32">
        <f>CHOOSE(Inputs!$B$12,C32,B32,D32)</f>
        <v/>
      </c>
    </row>
    <row r="33">
      <c r="A33" t="n">
        <v>32</v>
      </c>
      <c r="B33" t="n">
        <v>100</v>
      </c>
      <c r="C33" t="n">
        <v>89</v>
      </c>
      <c r="D33" t="n">
        <v>128</v>
      </c>
      <c r="E33">
        <f>CHOOSE(Inputs!$B$12,C33,B33,D33)</f>
        <v/>
      </c>
    </row>
    <row r="34">
      <c r="A34" t="n">
        <v>33</v>
      </c>
      <c r="B34" t="n">
        <v>100</v>
      </c>
      <c r="C34" t="n">
        <v>74</v>
      </c>
      <c r="D34" t="n">
        <v>107</v>
      </c>
      <c r="E34">
        <f>CHOOSE(Inputs!$B$12,C34,B34,D34)</f>
        <v/>
      </c>
    </row>
    <row r="35">
      <c r="A35" t="n">
        <v>34</v>
      </c>
      <c r="B35" t="n">
        <v>100</v>
      </c>
      <c r="C35" t="n">
        <v>86</v>
      </c>
      <c r="D35" t="n">
        <v>123</v>
      </c>
      <c r="E35">
        <f>CHOOSE(Inputs!$B$12,C35,B35,D35)</f>
        <v/>
      </c>
    </row>
    <row r="36">
      <c r="A36" t="n">
        <v>35</v>
      </c>
      <c r="B36" t="n">
        <v>100</v>
      </c>
      <c r="C36" t="n">
        <v>48</v>
      </c>
      <c r="D36" t="n">
        <v>67</v>
      </c>
      <c r="E36">
        <f>CHOOSE(Inputs!$B$12,C36,B36,D36)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Demand Used</t>
        </is>
      </c>
      <c r="B1" s="1" t="inlineStr">
        <is>
          <t>High demand profile</t>
        </is>
      </c>
      <c r="C1" s="1" t="inlineStr">
        <is>
          <t>Base demand profile</t>
        </is>
      </c>
      <c r="D1" s="1" t="inlineStr">
        <is>
          <t>Low demand profile</t>
        </is>
      </c>
    </row>
    <row r="2">
      <c r="A2" s="1" t="inlineStr">
        <is>
          <t>Scenario</t>
        </is>
      </c>
      <c r="B2" s="1" t="n"/>
      <c r="C2" s="1" t="n"/>
      <c r="D2" s="1" t="n"/>
    </row>
    <row r="3">
      <c r="A3" s="2" t="inlineStr">
        <is>
          <t>Simulation - Scenario 1 - HighInv</t>
        </is>
      </c>
      <c r="B3" s="2" t="n">
        <v>285947.25</v>
      </c>
      <c r="C3" s="2" t="n">
        <v>215350</v>
      </c>
      <c r="D3" s="2" t="n">
        <v>141272.5</v>
      </c>
    </row>
    <row r="4">
      <c r="A4" s="2" t="inlineStr">
        <is>
          <t>Simulation - Scenario 2 - Balanced</t>
        </is>
      </c>
      <c r="B4" s="2" t="n">
        <v>229725.75</v>
      </c>
      <c r="C4" s="2" t="n">
        <v>114350</v>
      </c>
      <c r="D4" s="2" t="n">
        <v>15661.75</v>
      </c>
    </row>
    <row r="5">
      <c r="A5" s="2" t="inlineStr">
        <is>
          <t>Simulation - Scenario 3 - MinCost</t>
        </is>
      </c>
      <c r="B5" s="2" t="n">
        <v>127317.5</v>
      </c>
      <c r="C5" s="2" t="n">
        <v>18600</v>
      </c>
      <c r="D5" s="2" t="n">
        <v>6833.25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64</v>
      </c>
      <c r="C2" t="n">
        <v>64</v>
      </c>
      <c r="D2" t="n">
        <v>50</v>
      </c>
      <c r="E2" t="n">
        <v>100</v>
      </c>
      <c r="F2" t="n">
        <v>0</v>
      </c>
      <c r="G2" t="n">
        <v>64</v>
      </c>
      <c r="H2" t="n">
        <v>64</v>
      </c>
      <c r="I2" t="n">
        <v>86</v>
      </c>
      <c r="J2" t="n">
        <v>0</v>
      </c>
      <c r="K2" t="n">
        <v>21.5</v>
      </c>
      <c r="L2" t="n">
        <v>0</v>
      </c>
      <c r="M2" t="n">
        <v>21.5</v>
      </c>
      <c r="N2" t="n">
        <v>21.5</v>
      </c>
      <c r="P2" t="n">
        <v>264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96</v>
      </c>
      <c r="C3" t="n">
        <v>96</v>
      </c>
      <c r="D3" t="n">
        <v>50</v>
      </c>
      <c r="E3" t="n">
        <v>86</v>
      </c>
      <c r="F3" t="n">
        <v>0</v>
      </c>
      <c r="G3" t="n">
        <v>96</v>
      </c>
      <c r="H3" t="n">
        <v>96</v>
      </c>
      <c r="I3" t="n">
        <v>40</v>
      </c>
      <c r="J3" t="n">
        <v>0</v>
      </c>
      <c r="K3" t="n">
        <v>10</v>
      </c>
      <c r="L3" t="n">
        <v>0</v>
      </c>
      <c r="M3" t="n">
        <v>10</v>
      </c>
      <c r="N3" t="n">
        <v>31.5</v>
      </c>
      <c r="P3" t="n">
        <v>360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76</v>
      </c>
      <c r="C4" t="n">
        <v>76</v>
      </c>
      <c r="D4" t="n">
        <v>0</v>
      </c>
      <c r="E4" t="n">
        <v>40</v>
      </c>
      <c r="F4" t="n">
        <v>0</v>
      </c>
      <c r="G4" t="n">
        <v>76</v>
      </c>
      <c r="H4" t="n">
        <v>40</v>
      </c>
      <c r="I4" t="n">
        <v>0</v>
      </c>
      <c r="J4" t="n">
        <v>36</v>
      </c>
      <c r="K4" t="n">
        <v>0</v>
      </c>
      <c r="L4" t="n">
        <v>36</v>
      </c>
      <c r="M4" t="n">
        <v>36</v>
      </c>
      <c r="N4" t="n">
        <v>67.5</v>
      </c>
      <c r="P4" t="n">
        <v>436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88</v>
      </c>
      <c r="C5" t="n">
        <v>88</v>
      </c>
      <c r="D5" t="n">
        <v>0</v>
      </c>
      <c r="E5" t="n">
        <v>0</v>
      </c>
      <c r="F5" t="n">
        <v>36</v>
      </c>
      <c r="G5" t="n">
        <v>124</v>
      </c>
      <c r="H5" t="n">
        <v>0</v>
      </c>
      <c r="I5" t="n">
        <v>0</v>
      </c>
      <c r="J5" t="n">
        <v>124</v>
      </c>
      <c r="K5" t="n">
        <v>0</v>
      </c>
      <c r="L5" t="n">
        <v>124</v>
      </c>
      <c r="M5" t="n">
        <v>124</v>
      </c>
      <c r="N5" t="n">
        <v>191.5</v>
      </c>
      <c r="P5" t="n">
        <v>324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72</v>
      </c>
      <c r="C6" t="n">
        <v>72</v>
      </c>
      <c r="D6" t="n">
        <v>200</v>
      </c>
      <c r="E6" t="n">
        <v>0</v>
      </c>
      <c r="F6" t="n">
        <v>124</v>
      </c>
      <c r="G6" t="n">
        <v>196</v>
      </c>
      <c r="H6" t="n">
        <v>196</v>
      </c>
      <c r="I6" t="n">
        <v>4</v>
      </c>
      <c r="J6" t="n">
        <v>0</v>
      </c>
      <c r="K6" t="n">
        <v>1</v>
      </c>
      <c r="L6" t="n">
        <v>0</v>
      </c>
      <c r="M6" t="n">
        <v>1</v>
      </c>
      <c r="N6" t="n">
        <v>192.5</v>
      </c>
      <c r="P6" t="n">
        <v>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104</v>
      </c>
      <c r="C7" t="n">
        <v>104</v>
      </c>
      <c r="D7" t="n">
        <v>0</v>
      </c>
      <c r="E7" t="n">
        <v>4</v>
      </c>
      <c r="F7" t="n">
        <v>0</v>
      </c>
      <c r="G7" t="n">
        <v>104</v>
      </c>
      <c r="H7" t="n">
        <v>4</v>
      </c>
      <c r="I7" t="n">
        <v>0</v>
      </c>
      <c r="J7" t="n">
        <v>100</v>
      </c>
      <c r="K7" t="n">
        <v>0</v>
      </c>
      <c r="L7" t="n">
        <v>100</v>
      </c>
      <c r="M7" t="n">
        <v>100</v>
      </c>
      <c r="N7" t="n">
        <v>292.5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68</v>
      </c>
      <c r="C8" t="n">
        <v>68</v>
      </c>
      <c r="D8" t="n">
        <v>200</v>
      </c>
      <c r="E8" t="n">
        <v>0</v>
      </c>
      <c r="F8" t="n">
        <v>100</v>
      </c>
      <c r="G8" t="n">
        <v>168</v>
      </c>
      <c r="H8" t="n">
        <v>168</v>
      </c>
      <c r="I8" t="n">
        <v>32</v>
      </c>
      <c r="J8" t="n">
        <v>0</v>
      </c>
      <c r="K8" t="n">
        <v>8</v>
      </c>
      <c r="L8" t="n">
        <v>0</v>
      </c>
      <c r="M8" t="n">
        <v>8</v>
      </c>
      <c r="N8" t="n">
        <v>300.5</v>
      </c>
      <c r="P8" t="n">
        <v>368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92</v>
      </c>
      <c r="C9" t="n">
        <v>92</v>
      </c>
      <c r="D9" t="n">
        <v>0</v>
      </c>
      <c r="E9" t="n">
        <v>32</v>
      </c>
      <c r="F9" t="n">
        <v>0</v>
      </c>
      <c r="G9" t="n">
        <v>92</v>
      </c>
      <c r="H9" t="n">
        <v>32</v>
      </c>
      <c r="I9" t="n">
        <v>0</v>
      </c>
      <c r="J9" t="n">
        <v>60</v>
      </c>
      <c r="K9" t="n">
        <v>0</v>
      </c>
      <c r="L9" t="n">
        <v>60</v>
      </c>
      <c r="M9" t="n">
        <v>60</v>
      </c>
      <c r="N9" t="n">
        <v>360.5</v>
      </c>
      <c r="P9" t="n">
        <v>60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80</v>
      </c>
      <c r="C10" t="n">
        <v>80</v>
      </c>
      <c r="D10" t="n">
        <v>400</v>
      </c>
      <c r="E10" t="n">
        <v>0</v>
      </c>
      <c r="F10" t="n">
        <v>60</v>
      </c>
      <c r="G10" t="n">
        <v>140</v>
      </c>
      <c r="H10" t="n">
        <v>140</v>
      </c>
      <c r="I10" t="n">
        <v>260</v>
      </c>
      <c r="J10" t="n">
        <v>0</v>
      </c>
      <c r="K10" t="n">
        <v>65</v>
      </c>
      <c r="L10" t="n">
        <v>0</v>
      </c>
      <c r="M10" t="n">
        <v>65</v>
      </c>
      <c r="N10" t="n">
        <v>425.5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84</v>
      </c>
      <c r="C11" t="n">
        <v>84</v>
      </c>
      <c r="D11" t="n">
        <v>300</v>
      </c>
      <c r="E11" t="n">
        <v>260</v>
      </c>
      <c r="F11" t="n">
        <v>0</v>
      </c>
      <c r="G11" t="n">
        <v>84</v>
      </c>
      <c r="H11" t="n">
        <v>84</v>
      </c>
      <c r="I11" t="n">
        <v>476</v>
      </c>
      <c r="J11" t="n">
        <v>0</v>
      </c>
      <c r="K11" t="n">
        <v>119</v>
      </c>
      <c r="L11" t="n">
        <v>0</v>
      </c>
      <c r="M11" t="n">
        <v>119</v>
      </c>
      <c r="N11" t="n">
        <v>544.5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60</v>
      </c>
      <c r="C12" t="n">
        <v>60</v>
      </c>
      <c r="D12" t="n">
        <v>500</v>
      </c>
      <c r="E12" t="n">
        <v>476</v>
      </c>
      <c r="F12" t="n">
        <v>0</v>
      </c>
      <c r="G12" t="n">
        <v>60</v>
      </c>
      <c r="H12" t="n">
        <v>60</v>
      </c>
      <c r="I12" t="n">
        <v>916</v>
      </c>
      <c r="J12" t="n">
        <v>0</v>
      </c>
      <c r="K12" t="n">
        <v>229</v>
      </c>
      <c r="L12" t="n">
        <v>0</v>
      </c>
      <c r="M12" t="n">
        <v>229</v>
      </c>
      <c r="N12" t="n">
        <v>773.5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100</v>
      </c>
      <c r="C13" t="n">
        <v>100</v>
      </c>
      <c r="D13" t="n">
        <v>300</v>
      </c>
      <c r="E13" t="n">
        <v>916</v>
      </c>
      <c r="F13" t="n">
        <v>0</v>
      </c>
      <c r="G13" t="n">
        <v>100</v>
      </c>
      <c r="H13" t="n">
        <v>100</v>
      </c>
      <c r="I13" t="n">
        <v>1116</v>
      </c>
      <c r="J13" t="n">
        <v>0</v>
      </c>
      <c r="K13" t="n">
        <v>279</v>
      </c>
      <c r="L13" t="n">
        <v>0</v>
      </c>
      <c r="M13" t="n">
        <v>279</v>
      </c>
      <c r="N13" t="n">
        <v>1052.5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78</v>
      </c>
      <c r="C14" t="n">
        <v>78</v>
      </c>
      <c r="D14" t="n">
        <v>364</v>
      </c>
      <c r="E14" t="n">
        <v>1116</v>
      </c>
      <c r="F14" t="n">
        <v>0</v>
      </c>
      <c r="G14" t="n">
        <v>78</v>
      </c>
      <c r="H14" t="n">
        <v>78</v>
      </c>
      <c r="I14" t="n">
        <v>1402</v>
      </c>
      <c r="J14" t="n">
        <v>0</v>
      </c>
      <c r="K14" t="n">
        <v>350.5</v>
      </c>
      <c r="L14" t="n">
        <v>0</v>
      </c>
      <c r="M14" t="n">
        <v>350.5</v>
      </c>
      <c r="N14" t="n">
        <v>1403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82</v>
      </c>
      <c r="C15" t="n">
        <v>82</v>
      </c>
      <c r="D15" t="n">
        <v>244</v>
      </c>
      <c r="E15" t="n">
        <v>1402</v>
      </c>
      <c r="F15" t="n">
        <v>0</v>
      </c>
      <c r="G15" t="n">
        <v>82</v>
      </c>
      <c r="H15" t="n">
        <v>82</v>
      </c>
      <c r="I15" t="n">
        <v>1564</v>
      </c>
      <c r="J15" t="n">
        <v>0</v>
      </c>
      <c r="K15" t="n">
        <v>391</v>
      </c>
      <c r="L15" t="n">
        <v>0</v>
      </c>
      <c r="M15" t="n">
        <v>391</v>
      </c>
      <c r="N15" t="n">
        <v>1794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70</v>
      </c>
      <c r="C16" t="n">
        <v>70</v>
      </c>
      <c r="D16" t="n">
        <v>0</v>
      </c>
      <c r="E16" t="n">
        <v>1564</v>
      </c>
      <c r="F16" t="n">
        <v>0</v>
      </c>
      <c r="G16" t="n">
        <v>70</v>
      </c>
      <c r="H16" t="n">
        <v>70</v>
      </c>
      <c r="I16" t="n">
        <v>1494</v>
      </c>
      <c r="J16" t="n">
        <v>0</v>
      </c>
      <c r="K16" t="n">
        <v>373.5</v>
      </c>
      <c r="L16" t="n">
        <v>0</v>
      </c>
      <c r="M16" t="n">
        <v>373.5</v>
      </c>
      <c r="N16" t="n">
        <v>2167.5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90</v>
      </c>
      <c r="C17" t="n">
        <v>90</v>
      </c>
      <c r="D17" t="n">
        <v>0</v>
      </c>
      <c r="E17" t="n">
        <v>1494</v>
      </c>
      <c r="F17" t="n">
        <v>0</v>
      </c>
      <c r="G17" t="n">
        <v>90</v>
      </c>
      <c r="H17" t="n">
        <v>90</v>
      </c>
      <c r="I17" t="n">
        <v>1404</v>
      </c>
      <c r="J17" t="n">
        <v>0</v>
      </c>
      <c r="K17" t="n">
        <v>351</v>
      </c>
      <c r="L17" t="n">
        <v>0</v>
      </c>
      <c r="M17" t="n">
        <v>351</v>
      </c>
      <c r="N17" t="n">
        <v>2518.5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74</v>
      </c>
      <c r="C18" t="n">
        <v>74</v>
      </c>
      <c r="D18" t="n">
        <v>0</v>
      </c>
      <c r="E18" t="n">
        <v>1404</v>
      </c>
      <c r="F18" t="n">
        <v>0</v>
      </c>
      <c r="G18" t="n">
        <v>74</v>
      </c>
      <c r="H18" t="n">
        <v>74</v>
      </c>
      <c r="I18" t="n">
        <v>1330</v>
      </c>
      <c r="J18" t="n">
        <v>0</v>
      </c>
      <c r="K18" t="n">
        <v>332.5</v>
      </c>
      <c r="L18" t="n">
        <v>0</v>
      </c>
      <c r="M18" t="n">
        <v>332.5</v>
      </c>
      <c r="N18" t="n">
        <v>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86</v>
      </c>
      <c r="C19" t="n">
        <v>86</v>
      </c>
      <c r="D19" t="n">
        <v>0</v>
      </c>
      <c r="E19" t="n">
        <v>1330</v>
      </c>
      <c r="F19" t="n">
        <v>0</v>
      </c>
      <c r="G19" t="n">
        <v>86</v>
      </c>
      <c r="H19" t="n">
        <v>86</v>
      </c>
      <c r="I19" t="n">
        <v>1244</v>
      </c>
      <c r="J19" t="n">
        <v>0</v>
      </c>
      <c r="K19" t="n">
        <v>311</v>
      </c>
      <c r="L19" t="n">
        <v>0</v>
      </c>
      <c r="M19" t="n">
        <v>311</v>
      </c>
      <c r="N19" t="n">
        <v>3162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56</v>
      </c>
      <c r="C20" t="n">
        <v>56</v>
      </c>
      <c r="D20" t="n">
        <v>0</v>
      </c>
      <c r="E20" t="n">
        <v>1244</v>
      </c>
      <c r="F20" t="n">
        <v>0</v>
      </c>
      <c r="G20" t="n">
        <v>56</v>
      </c>
      <c r="H20" t="n">
        <v>56</v>
      </c>
      <c r="I20" t="n">
        <v>1188</v>
      </c>
      <c r="J20" t="n">
        <v>0</v>
      </c>
      <c r="K20" t="n">
        <v>297</v>
      </c>
      <c r="L20" t="n">
        <v>0</v>
      </c>
      <c r="M20" t="n">
        <v>297</v>
      </c>
      <c r="N20" t="n">
        <v>3459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112</v>
      </c>
      <c r="C21" t="n">
        <v>112</v>
      </c>
      <c r="D21" t="n">
        <v>0</v>
      </c>
      <c r="E21" t="n">
        <v>1188</v>
      </c>
      <c r="F21" t="n">
        <v>0</v>
      </c>
      <c r="G21" t="n">
        <v>112</v>
      </c>
      <c r="H21" t="n">
        <v>112</v>
      </c>
      <c r="I21" t="n">
        <v>1076</v>
      </c>
      <c r="J21" t="n">
        <v>0</v>
      </c>
      <c r="K21" t="n">
        <v>269</v>
      </c>
      <c r="L21" t="n">
        <v>0</v>
      </c>
      <c r="M21" t="n">
        <v>269</v>
      </c>
      <c r="N21" t="n">
        <v>3728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77</v>
      </c>
      <c r="C22" t="n">
        <v>77</v>
      </c>
      <c r="D22" t="n">
        <v>0</v>
      </c>
      <c r="E22" t="n">
        <v>1076</v>
      </c>
      <c r="F22" t="n">
        <v>0</v>
      </c>
      <c r="G22" t="n">
        <v>77</v>
      </c>
      <c r="H22" t="n">
        <v>77</v>
      </c>
      <c r="I22" t="n">
        <v>999</v>
      </c>
      <c r="J22" t="n">
        <v>0</v>
      </c>
      <c r="K22" t="n">
        <v>249.75</v>
      </c>
      <c r="L22" t="n">
        <v>0</v>
      </c>
      <c r="M22" t="n">
        <v>249.75</v>
      </c>
      <c r="N22" t="n">
        <v>3977.75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83</v>
      </c>
      <c r="C23" t="n">
        <v>83</v>
      </c>
      <c r="D23" t="n">
        <v>0</v>
      </c>
      <c r="E23" t="n">
        <v>999</v>
      </c>
      <c r="F23" t="n">
        <v>0</v>
      </c>
      <c r="G23" t="n">
        <v>83</v>
      </c>
      <c r="H23" t="n">
        <v>83</v>
      </c>
      <c r="I23" t="n">
        <v>916</v>
      </c>
      <c r="J23" t="n">
        <v>0</v>
      </c>
      <c r="K23" t="n">
        <v>229</v>
      </c>
      <c r="L23" t="n">
        <v>0</v>
      </c>
      <c r="M23" t="n">
        <v>229</v>
      </c>
      <c r="N23" t="n">
        <v>4206.75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69</v>
      </c>
      <c r="C24" t="n">
        <v>69</v>
      </c>
      <c r="D24" t="n">
        <v>0</v>
      </c>
      <c r="E24" t="n">
        <v>916</v>
      </c>
      <c r="F24" t="n">
        <v>0</v>
      </c>
      <c r="G24" t="n">
        <v>69</v>
      </c>
      <c r="H24" t="n">
        <v>69</v>
      </c>
      <c r="I24" t="n">
        <v>847</v>
      </c>
      <c r="J24" t="n">
        <v>0</v>
      </c>
      <c r="K24" t="n">
        <v>211.75</v>
      </c>
      <c r="L24" t="n">
        <v>0</v>
      </c>
      <c r="M24" t="n">
        <v>211.75</v>
      </c>
      <c r="N24" t="n">
        <v>4418.5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91</v>
      </c>
      <c r="C25" t="n">
        <v>91</v>
      </c>
      <c r="D25" t="n">
        <v>0</v>
      </c>
      <c r="E25" t="n">
        <v>847</v>
      </c>
      <c r="F25" t="n">
        <v>0</v>
      </c>
      <c r="G25" t="n">
        <v>91</v>
      </c>
      <c r="H25" t="n">
        <v>91</v>
      </c>
      <c r="I25" t="n">
        <v>756</v>
      </c>
      <c r="J25" t="n">
        <v>0</v>
      </c>
      <c r="K25" t="n">
        <v>189</v>
      </c>
      <c r="L25" t="n">
        <v>0</v>
      </c>
      <c r="M25" t="n">
        <v>189</v>
      </c>
      <c r="N25" t="n">
        <v>4607.5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75</v>
      </c>
      <c r="C26" t="n">
        <v>75</v>
      </c>
      <c r="D26" t="n">
        <v>0</v>
      </c>
      <c r="E26" t="n">
        <v>756</v>
      </c>
      <c r="F26" t="n">
        <v>0</v>
      </c>
      <c r="G26" t="n">
        <v>75</v>
      </c>
      <c r="H26" t="n">
        <v>75</v>
      </c>
      <c r="I26" t="n">
        <v>681</v>
      </c>
      <c r="J26" t="n">
        <v>0</v>
      </c>
      <c r="K26" t="n">
        <v>170.25</v>
      </c>
      <c r="L26" t="n">
        <v>0</v>
      </c>
      <c r="M26" t="n">
        <v>170.25</v>
      </c>
      <c r="N26" t="n">
        <v>4777.75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85</v>
      </c>
      <c r="C27" t="n">
        <v>85</v>
      </c>
      <c r="D27" t="n">
        <v>0</v>
      </c>
      <c r="E27" t="n">
        <v>681</v>
      </c>
      <c r="F27" t="n">
        <v>0</v>
      </c>
      <c r="G27" t="n">
        <v>85</v>
      </c>
      <c r="H27" t="n">
        <v>85</v>
      </c>
      <c r="I27" t="n">
        <v>596</v>
      </c>
      <c r="J27" t="n">
        <v>0</v>
      </c>
      <c r="K27" t="n">
        <v>149</v>
      </c>
      <c r="L27" t="n">
        <v>0</v>
      </c>
      <c r="M27" t="n">
        <v>149</v>
      </c>
      <c r="N27" t="n">
        <v>4926.75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66</v>
      </c>
      <c r="C28" t="n">
        <v>66</v>
      </c>
      <c r="D28" t="n">
        <v>0</v>
      </c>
      <c r="E28" t="n">
        <v>596</v>
      </c>
      <c r="F28" t="n">
        <v>0</v>
      </c>
      <c r="G28" t="n">
        <v>66</v>
      </c>
      <c r="H28" t="n">
        <v>66</v>
      </c>
      <c r="I28" t="n">
        <v>530</v>
      </c>
      <c r="J28" t="n">
        <v>0</v>
      </c>
      <c r="K28" t="n">
        <v>132.5</v>
      </c>
      <c r="L28" t="n">
        <v>0</v>
      </c>
      <c r="M28" t="n">
        <v>132.5</v>
      </c>
      <c r="N28" t="n">
        <v>5059.25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94</v>
      </c>
      <c r="C29" t="n">
        <v>94</v>
      </c>
      <c r="D29" t="n">
        <v>0</v>
      </c>
      <c r="E29" t="n">
        <v>530</v>
      </c>
      <c r="F29" t="n">
        <v>0</v>
      </c>
      <c r="G29" t="n">
        <v>94</v>
      </c>
      <c r="H29" t="n">
        <v>94</v>
      </c>
      <c r="I29" t="n">
        <v>436</v>
      </c>
      <c r="J29" t="n">
        <v>0</v>
      </c>
      <c r="K29" t="n">
        <v>109</v>
      </c>
      <c r="L29" t="n">
        <v>0</v>
      </c>
      <c r="M29" t="n">
        <v>109</v>
      </c>
      <c r="N29" t="n">
        <v>5168.25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78</v>
      </c>
      <c r="C30" t="n">
        <v>78</v>
      </c>
      <c r="D30" t="n">
        <v>0</v>
      </c>
      <c r="E30" t="n">
        <v>436</v>
      </c>
      <c r="F30" t="n">
        <v>0</v>
      </c>
      <c r="G30" t="n">
        <v>78</v>
      </c>
      <c r="H30" t="n">
        <v>78</v>
      </c>
      <c r="I30" t="n">
        <v>358</v>
      </c>
      <c r="J30" t="n">
        <v>0</v>
      </c>
      <c r="K30" t="n">
        <v>89.5</v>
      </c>
      <c r="L30" t="n">
        <v>0</v>
      </c>
      <c r="M30" t="n">
        <v>89.5</v>
      </c>
      <c r="N30" t="n">
        <v>5257.75</v>
      </c>
      <c r="P30" t="n">
        <v>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82</v>
      </c>
      <c r="C31" t="n">
        <v>82</v>
      </c>
      <c r="D31" t="n">
        <v>0</v>
      </c>
      <c r="E31" t="n">
        <v>358</v>
      </c>
      <c r="F31" t="n">
        <v>0</v>
      </c>
      <c r="G31" t="n">
        <v>82</v>
      </c>
      <c r="H31" t="n">
        <v>82</v>
      </c>
      <c r="I31" t="n">
        <v>276</v>
      </c>
      <c r="J31" t="n">
        <v>0</v>
      </c>
      <c r="K31" t="n">
        <v>69</v>
      </c>
      <c r="L31" t="n">
        <v>0</v>
      </c>
      <c r="M31" t="n">
        <v>69</v>
      </c>
      <c r="N31" t="n">
        <v>5326.75</v>
      </c>
      <c r="P31" t="n">
        <v>124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71</v>
      </c>
      <c r="C32" t="n">
        <v>71</v>
      </c>
      <c r="D32" t="n">
        <v>0</v>
      </c>
      <c r="E32" t="n">
        <v>276</v>
      </c>
      <c r="F32" t="n">
        <v>0</v>
      </c>
      <c r="G32" t="n">
        <v>71</v>
      </c>
      <c r="H32" t="n">
        <v>71</v>
      </c>
      <c r="I32" t="n">
        <v>205</v>
      </c>
      <c r="J32" t="n">
        <v>0</v>
      </c>
      <c r="K32" t="n">
        <v>51.25</v>
      </c>
      <c r="L32" t="n">
        <v>0</v>
      </c>
      <c r="M32" t="n">
        <v>51.25</v>
      </c>
      <c r="N32" t="n">
        <v>5378</v>
      </c>
      <c r="P32" t="n">
        <v>195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89</v>
      </c>
      <c r="C33" t="n">
        <v>89</v>
      </c>
      <c r="D33" t="n">
        <v>0</v>
      </c>
      <c r="E33" t="n">
        <v>205</v>
      </c>
      <c r="F33" t="n">
        <v>0</v>
      </c>
      <c r="G33" t="n">
        <v>89</v>
      </c>
      <c r="H33" t="n">
        <v>89</v>
      </c>
      <c r="I33" t="n">
        <v>116</v>
      </c>
      <c r="J33" t="n">
        <v>0</v>
      </c>
      <c r="K33" t="n">
        <v>29</v>
      </c>
      <c r="L33" t="n">
        <v>0</v>
      </c>
      <c r="M33" t="n">
        <v>29</v>
      </c>
      <c r="N33" t="n">
        <v>5407</v>
      </c>
      <c r="P33" t="n">
        <v>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74</v>
      </c>
      <c r="C34" t="n">
        <v>74</v>
      </c>
      <c r="D34" t="n">
        <v>42</v>
      </c>
      <c r="E34" t="n">
        <v>116</v>
      </c>
      <c r="F34" t="n">
        <v>0</v>
      </c>
      <c r="G34" t="n">
        <v>74</v>
      </c>
      <c r="H34" t="n">
        <v>74</v>
      </c>
      <c r="I34" t="n">
        <v>84</v>
      </c>
      <c r="J34" t="n">
        <v>0</v>
      </c>
      <c r="K34" t="n">
        <v>21</v>
      </c>
      <c r="L34" t="n">
        <v>0</v>
      </c>
      <c r="M34" t="n">
        <v>21</v>
      </c>
      <c r="N34" t="n">
        <v>5428</v>
      </c>
      <c r="P34" t="n">
        <v>192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86</v>
      </c>
      <c r="C35" t="n">
        <v>86</v>
      </c>
      <c r="D35" t="n">
        <v>124</v>
      </c>
      <c r="E35" t="n">
        <v>84</v>
      </c>
      <c r="F35" t="n">
        <v>0</v>
      </c>
      <c r="G35" t="n">
        <v>86</v>
      </c>
      <c r="H35" t="n">
        <v>86</v>
      </c>
      <c r="I35" t="n">
        <v>122</v>
      </c>
      <c r="J35" t="n">
        <v>0</v>
      </c>
      <c r="K35" t="n">
        <v>30.5</v>
      </c>
      <c r="L35" t="n">
        <v>0</v>
      </c>
      <c r="M35" t="n">
        <v>30.5</v>
      </c>
      <c r="N35" t="n">
        <v>5458.5</v>
      </c>
      <c r="P35" t="n">
        <v>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48</v>
      </c>
      <c r="C36" t="n">
        <v>48</v>
      </c>
      <c r="D36" t="n">
        <v>195</v>
      </c>
      <c r="E36" t="n">
        <v>122</v>
      </c>
      <c r="F36" t="n">
        <v>0</v>
      </c>
      <c r="G36" t="n">
        <v>48</v>
      </c>
      <c r="H36" t="n">
        <v>48</v>
      </c>
      <c r="I36" t="n">
        <v>269</v>
      </c>
      <c r="J36" t="n">
        <v>0</v>
      </c>
      <c r="K36" t="n">
        <v>67.25</v>
      </c>
      <c r="L36" t="n">
        <v>0</v>
      </c>
      <c r="M36" t="n">
        <v>67.25</v>
      </c>
      <c r="N36" t="n">
        <v>5525.75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200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264</v>
      </c>
      <c r="C4" t="n">
        <v>264</v>
      </c>
      <c r="D4" t="n">
        <v>0</v>
      </c>
      <c r="E4" t="n">
        <v>200</v>
      </c>
      <c r="F4" t="n">
        <v>0</v>
      </c>
      <c r="G4" t="n">
        <v>264</v>
      </c>
      <c r="H4" t="n">
        <v>200</v>
      </c>
      <c r="I4" t="n">
        <v>0</v>
      </c>
      <c r="J4" t="n">
        <v>64</v>
      </c>
      <c r="K4" t="n">
        <v>0</v>
      </c>
      <c r="L4" t="n">
        <v>64</v>
      </c>
      <c r="M4" t="n">
        <v>64</v>
      </c>
      <c r="N4" t="n">
        <v>151.5</v>
      </c>
      <c r="P4" t="n">
        <v>464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360</v>
      </c>
      <c r="C5" t="n">
        <v>360</v>
      </c>
      <c r="D5" t="n">
        <v>0</v>
      </c>
      <c r="E5" t="n">
        <v>0</v>
      </c>
      <c r="F5" t="n">
        <v>64</v>
      </c>
      <c r="G5" t="n">
        <v>424</v>
      </c>
      <c r="H5" t="n">
        <v>0</v>
      </c>
      <c r="I5" t="n">
        <v>0</v>
      </c>
      <c r="J5" t="n">
        <v>424</v>
      </c>
      <c r="K5" t="n">
        <v>0</v>
      </c>
      <c r="L5" t="n">
        <v>424</v>
      </c>
      <c r="M5" t="n">
        <v>424</v>
      </c>
      <c r="N5" t="n">
        <v>575.5</v>
      </c>
      <c r="P5" t="n">
        <v>624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436</v>
      </c>
      <c r="C6" t="n">
        <v>436</v>
      </c>
      <c r="D6" t="n">
        <v>200</v>
      </c>
      <c r="E6" t="n">
        <v>0</v>
      </c>
      <c r="F6" t="n">
        <v>424</v>
      </c>
      <c r="G6" t="n">
        <v>860</v>
      </c>
      <c r="H6" t="n">
        <v>200</v>
      </c>
      <c r="I6" t="n">
        <v>0</v>
      </c>
      <c r="J6" t="n">
        <v>660</v>
      </c>
      <c r="K6" t="n">
        <v>0</v>
      </c>
      <c r="L6" t="n">
        <v>660</v>
      </c>
      <c r="M6" t="n">
        <v>660</v>
      </c>
      <c r="N6" t="n">
        <v>1235.5</v>
      </c>
      <c r="P6" t="n">
        <v>1060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324</v>
      </c>
      <c r="C7" t="n">
        <v>324</v>
      </c>
      <c r="D7" t="n">
        <v>0</v>
      </c>
      <c r="E7" t="n">
        <v>0</v>
      </c>
      <c r="F7" t="n">
        <v>660</v>
      </c>
      <c r="G7" t="n">
        <v>984</v>
      </c>
      <c r="H7" t="n">
        <v>0</v>
      </c>
      <c r="I7" t="n">
        <v>0</v>
      </c>
      <c r="J7" t="n">
        <v>984</v>
      </c>
      <c r="K7" t="n">
        <v>0</v>
      </c>
      <c r="L7" t="n">
        <v>984</v>
      </c>
      <c r="M7" t="n">
        <v>984</v>
      </c>
      <c r="N7" t="n">
        <v>2219.5</v>
      </c>
      <c r="P7" t="n">
        <v>984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396</v>
      </c>
      <c r="C8" t="n">
        <v>396</v>
      </c>
      <c r="D8" t="n">
        <v>400</v>
      </c>
      <c r="E8" t="n">
        <v>0</v>
      </c>
      <c r="F8" t="n">
        <v>984</v>
      </c>
      <c r="G8" t="n">
        <v>1380</v>
      </c>
      <c r="H8" t="n">
        <v>400</v>
      </c>
      <c r="I8" t="n">
        <v>0</v>
      </c>
      <c r="J8" t="n">
        <v>980</v>
      </c>
      <c r="K8" t="n">
        <v>0</v>
      </c>
      <c r="L8" t="n">
        <v>980</v>
      </c>
      <c r="M8" t="n">
        <v>980</v>
      </c>
      <c r="N8" t="n">
        <v>3199.5</v>
      </c>
      <c r="P8" t="n">
        <v>1080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300</v>
      </c>
      <c r="C9" t="n">
        <v>300</v>
      </c>
      <c r="D9" t="n">
        <v>300</v>
      </c>
      <c r="E9" t="n">
        <v>0</v>
      </c>
      <c r="F9" t="n">
        <v>980</v>
      </c>
      <c r="G9" t="n">
        <v>1280</v>
      </c>
      <c r="H9" t="n">
        <v>300</v>
      </c>
      <c r="I9" t="n">
        <v>0</v>
      </c>
      <c r="J9" t="n">
        <v>980</v>
      </c>
      <c r="K9" t="n">
        <v>0</v>
      </c>
      <c r="L9" t="n">
        <v>980</v>
      </c>
      <c r="M9" t="n">
        <v>980</v>
      </c>
      <c r="N9" t="n">
        <v>4179.5</v>
      </c>
      <c r="P9" t="n">
        <v>880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368</v>
      </c>
      <c r="C10" t="n">
        <v>368</v>
      </c>
      <c r="D10" t="n">
        <v>500</v>
      </c>
      <c r="E10" t="n">
        <v>0</v>
      </c>
      <c r="F10" t="n">
        <v>980</v>
      </c>
      <c r="G10" t="n">
        <v>1348</v>
      </c>
      <c r="H10" t="n">
        <v>500</v>
      </c>
      <c r="I10" t="n">
        <v>0</v>
      </c>
      <c r="J10" t="n">
        <v>848</v>
      </c>
      <c r="K10" t="n">
        <v>0</v>
      </c>
      <c r="L10" t="n">
        <v>848</v>
      </c>
      <c r="M10" t="n">
        <v>848</v>
      </c>
      <c r="N10" t="n">
        <v>5027.5</v>
      </c>
      <c r="P10" t="n">
        <v>948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60</v>
      </c>
      <c r="C11" t="n">
        <v>60</v>
      </c>
      <c r="D11" t="n">
        <v>300</v>
      </c>
      <c r="E11" t="n">
        <v>0</v>
      </c>
      <c r="F11" t="n">
        <v>848</v>
      </c>
      <c r="G11" t="n">
        <v>908</v>
      </c>
      <c r="H11" t="n">
        <v>300</v>
      </c>
      <c r="I11" t="n">
        <v>0</v>
      </c>
      <c r="J11" t="n">
        <v>608</v>
      </c>
      <c r="K11" t="n">
        <v>0</v>
      </c>
      <c r="L11" t="n">
        <v>608</v>
      </c>
      <c r="M11" t="n">
        <v>608</v>
      </c>
      <c r="N11" t="n">
        <v>5635.5</v>
      </c>
      <c r="P11" t="n">
        <v>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0</v>
      </c>
      <c r="C12" t="n">
        <v>0</v>
      </c>
      <c r="D12" t="n">
        <v>364</v>
      </c>
      <c r="E12" t="n">
        <v>0</v>
      </c>
      <c r="F12" t="n">
        <v>608</v>
      </c>
      <c r="G12" t="n">
        <v>608</v>
      </c>
      <c r="H12" t="n">
        <v>364</v>
      </c>
      <c r="I12" t="n">
        <v>0</v>
      </c>
      <c r="J12" t="n">
        <v>244</v>
      </c>
      <c r="K12" t="n">
        <v>0</v>
      </c>
      <c r="L12" t="n">
        <v>244</v>
      </c>
      <c r="M12" t="n">
        <v>244</v>
      </c>
      <c r="N12" t="n">
        <v>5879.5</v>
      </c>
      <c r="P12" t="n">
        <v>208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</v>
      </c>
      <c r="C13" t="n">
        <v>0</v>
      </c>
      <c r="D13" t="n">
        <v>436</v>
      </c>
      <c r="E13" t="n">
        <v>0</v>
      </c>
      <c r="F13" t="n">
        <v>244</v>
      </c>
      <c r="G13" t="n">
        <v>244</v>
      </c>
      <c r="H13" t="n">
        <v>244</v>
      </c>
      <c r="I13" t="n">
        <v>192</v>
      </c>
      <c r="J13" t="n">
        <v>0</v>
      </c>
      <c r="K13" t="n">
        <v>48</v>
      </c>
      <c r="L13" t="n">
        <v>0</v>
      </c>
      <c r="M13" t="n">
        <v>48</v>
      </c>
      <c r="N13" t="n">
        <v>5927.5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</v>
      </c>
      <c r="C14" t="n">
        <v>0</v>
      </c>
      <c r="D14" t="n">
        <v>364</v>
      </c>
      <c r="E14" t="n">
        <v>192</v>
      </c>
      <c r="F14" t="n">
        <v>0</v>
      </c>
      <c r="G14" t="n">
        <v>0</v>
      </c>
      <c r="H14" t="n">
        <v>0</v>
      </c>
      <c r="I14" t="n">
        <v>556</v>
      </c>
      <c r="J14" t="n">
        <v>0</v>
      </c>
      <c r="K14" t="n">
        <v>139</v>
      </c>
      <c r="L14" t="n">
        <v>0</v>
      </c>
      <c r="M14" t="n">
        <v>139</v>
      </c>
      <c r="N14" t="n">
        <v>6066.5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488</v>
      </c>
      <c r="E15" t="n">
        <v>556</v>
      </c>
      <c r="F15" t="n">
        <v>0</v>
      </c>
      <c r="G15" t="n">
        <v>0</v>
      </c>
      <c r="H15" t="n">
        <v>0</v>
      </c>
      <c r="I15" t="n">
        <v>1044</v>
      </c>
      <c r="J15" t="n">
        <v>0</v>
      </c>
      <c r="K15" t="n">
        <v>261</v>
      </c>
      <c r="L15" t="n">
        <v>0</v>
      </c>
      <c r="M15" t="n">
        <v>261</v>
      </c>
      <c r="N15" t="n">
        <v>6327.5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1248</v>
      </c>
      <c r="E16" t="n">
        <v>1044</v>
      </c>
      <c r="F16" t="n">
        <v>0</v>
      </c>
      <c r="G16" t="n">
        <v>0</v>
      </c>
      <c r="H16" t="n">
        <v>0</v>
      </c>
      <c r="I16" t="n">
        <v>2292</v>
      </c>
      <c r="J16" t="n">
        <v>0</v>
      </c>
      <c r="K16" t="n">
        <v>573</v>
      </c>
      <c r="L16" t="n">
        <v>0</v>
      </c>
      <c r="M16" t="n">
        <v>573</v>
      </c>
      <c r="N16" t="n">
        <v>6900.5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1868</v>
      </c>
      <c r="E17" t="n">
        <v>2292</v>
      </c>
      <c r="F17" t="n">
        <v>0</v>
      </c>
      <c r="G17" t="n">
        <v>0</v>
      </c>
      <c r="H17" t="n">
        <v>0</v>
      </c>
      <c r="I17" t="n">
        <v>4160</v>
      </c>
      <c r="J17" t="n">
        <v>0</v>
      </c>
      <c r="K17" t="n">
        <v>1040</v>
      </c>
      <c r="L17" t="n">
        <v>0</v>
      </c>
      <c r="M17" t="n">
        <v>1040</v>
      </c>
      <c r="N17" t="n">
        <v>7940.5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824</v>
      </c>
      <c r="E18" t="n">
        <v>4160</v>
      </c>
      <c r="F18" t="n">
        <v>0</v>
      </c>
      <c r="G18" t="n">
        <v>0</v>
      </c>
      <c r="H18" t="n">
        <v>0</v>
      </c>
      <c r="I18" t="n">
        <v>4984</v>
      </c>
      <c r="J18" t="n">
        <v>0</v>
      </c>
      <c r="K18" t="n">
        <v>1246</v>
      </c>
      <c r="L18" t="n">
        <v>0</v>
      </c>
      <c r="M18" t="n">
        <v>1246</v>
      </c>
      <c r="N18" t="n">
        <v>9186.5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4984</v>
      </c>
      <c r="F19" t="n">
        <v>0</v>
      </c>
      <c r="G19" t="n">
        <v>0</v>
      </c>
      <c r="H19" t="n">
        <v>0</v>
      </c>
      <c r="I19" t="n">
        <v>4984</v>
      </c>
      <c r="J19" t="n">
        <v>0</v>
      </c>
      <c r="K19" t="n">
        <v>1246</v>
      </c>
      <c r="L19" t="n">
        <v>0</v>
      </c>
      <c r="M19" t="n">
        <v>1246</v>
      </c>
      <c r="N19" t="n">
        <v>10432.5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4984</v>
      </c>
      <c r="F20" t="n">
        <v>0</v>
      </c>
      <c r="G20" t="n">
        <v>0</v>
      </c>
      <c r="H20" t="n">
        <v>0</v>
      </c>
      <c r="I20" t="n">
        <v>4984</v>
      </c>
      <c r="J20" t="n">
        <v>0</v>
      </c>
      <c r="K20" t="n">
        <v>1246</v>
      </c>
      <c r="L20" t="n">
        <v>0</v>
      </c>
      <c r="M20" t="n">
        <v>1246</v>
      </c>
      <c r="N20" t="n">
        <v>11678.5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4984</v>
      </c>
      <c r="F21" t="n">
        <v>0</v>
      </c>
      <c r="G21" t="n">
        <v>0</v>
      </c>
      <c r="H21" t="n">
        <v>0</v>
      </c>
      <c r="I21" t="n">
        <v>4984</v>
      </c>
      <c r="J21" t="n">
        <v>0</v>
      </c>
      <c r="K21" t="n">
        <v>1246</v>
      </c>
      <c r="L21" t="n">
        <v>0</v>
      </c>
      <c r="M21" t="n">
        <v>1246</v>
      </c>
      <c r="N21" t="n">
        <v>12924.5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4984</v>
      </c>
      <c r="F22" t="n">
        <v>0</v>
      </c>
      <c r="G22" t="n">
        <v>0</v>
      </c>
      <c r="H22" t="n">
        <v>0</v>
      </c>
      <c r="I22" t="n">
        <v>4984</v>
      </c>
      <c r="J22" t="n">
        <v>0</v>
      </c>
      <c r="K22" t="n">
        <v>1246</v>
      </c>
      <c r="L22" t="n">
        <v>0</v>
      </c>
      <c r="M22" t="n">
        <v>1246</v>
      </c>
      <c r="N22" t="n">
        <v>14170.5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4984</v>
      </c>
      <c r="F23" t="n">
        <v>0</v>
      </c>
      <c r="G23" t="n">
        <v>0</v>
      </c>
      <c r="H23" t="n">
        <v>0</v>
      </c>
      <c r="I23" t="n">
        <v>4984</v>
      </c>
      <c r="J23" t="n">
        <v>0</v>
      </c>
      <c r="K23" t="n">
        <v>1246</v>
      </c>
      <c r="L23" t="n">
        <v>0</v>
      </c>
      <c r="M23" t="n">
        <v>1246</v>
      </c>
      <c r="N23" t="n">
        <v>15416.5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4984</v>
      </c>
      <c r="F24" t="n">
        <v>0</v>
      </c>
      <c r="G24" t="n">
        <v>0</v>
      </c>
      <c r="H24" t="n">
        <v>0</v>
      </c>
      <c r="I24" t="n">
        <v>4984</v>
      </c>
      <c r="J24" t="n">
        <v>0</v>
      </c>
      <c r="K24" t="n">
        <v>1246</v>
      </c>
      <c r="L24" t="n">
        <v>0</v>
      </c>
      <c r="M24" t="n">
        <v>1246</v>
      </c>
      <c r="N24" t="n">
        <v>16662.5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4984</v>
      </c>
      <c r="F25" t="n">
        <v>0</v>
      </c>
      <c r="G25" t="n">
        <v>0</v>
      </c>
      <c r="H25" t="n">
        <v>0</v>
      </c>
      <c r="I25" t="n">
        <v>4984</v>
      </c>
      <c r="J25" t="n">
        <v>0</v>
      </c>
      <c r="K25" t="n">
        <v>1246</v>
      </c>
      <c r="L25" t="n">
        <v>0</v>
      </c>
      <c r="M25" t="n">
        <v>1246</v>
      </c>
      <c r="N25" t="n">
        <v>17908.5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4984</v>
      </c>
      <c r="F26" t="n">
        <v>0</v>
      </c>
      <c r="G26" t="n">
        <v>0</v>
      </c>
      <c r="H26" t="n">
        <v>0</v>
      </c>
      <c r="I26" t="n">
        <v>4984</v>
      </c>
      <c r="J26" t="n">
        <v>0</v>
      </c>
      <c r="K26" t="n">
        <v>1246</v>
      </c>
      <c r="L26" t="n">
        <v>0</v>
      </c>
      <c r="M26" t="n">
        <v>1246</v>
      </c>
      <c r="N26" t="n">
        <v>19154.5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4984</v>
      </c>
      <c r="F27" t="n">
        <v>0</v>
      </c>
      <c r="G27" t="n">
        <v>0</v>
      </c>
      <c r="H27" t="n">
        <v>0</v>
      </c>
      <c r="I27" t="n">
        <v>4984</v>
      </c>
      <c r="J27" t="n">
        <v>0</v>
      </c>
      <c r="K27" t="n">
        <v>1246</v>
      </c>
      <c r="L27" t="n">
        <v>0</v>
      </c>
      <c r="M27" t="n">
        <v>1246</v>
      </c>
      <c r="N27" t="n">
        <v>20400.5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4984</v>
      </c>
      <c r="F28" t="n">
        <v>0</v>
      </c>
      <c r="G28" t="n">
        <v>0</v>
      </c>
      <c r="H28" t="n">
        <v>0</v>
      </c>
      <c r="I28" t="n">
        <v>4984</v>
      </c>
      <c r="J28" t="n">
        <v>0</v>
      </c>
      <c r="K28" t="n">
        <v>1246</v>
      </c>
      <c r="L28" t="n">
        <v>0</v>
      </c>
      <c r="M28" t="n">
        <v>1246</v>
      </c>
      <c r="N28" t="n">
        <v>21646.5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4984</v>
      </c>
      <c r="F29" t="n">
        <v>0</v>
      </c>
      <c r="G29" t="n">
        <v>0</v>
      </c>
      <c r="H29" t="n">
        <v>0</v>
      </c>
      <c r="I29" t="n">
        <v>4984</v>
      </c>
      <c r="J29" t="n">
        <v>0</v>
      </c>
      <c r="K29" t="n">
        <v>1246</v>
      </c>
      <c r="L29" t="n">
        <v>0</v>
      </c>
      <c r="M29" t="n">
        <v>1246</v>
      </c>
      <c r="N29" t="n">
        <v>22892.5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4984</v>
      </c>
      <c r="F30" t="n">
        <v>0</v>
      </c>
      <c r="G30" t="n">
        <v>0</v>
      </c>
      <c r="H30" t="n">
        <v>0</v>
      </c>
      <c r="I30" t="n">
        <v>4984</v>
      </c>
      <c r="J30" t="n">
        <v>0</v>
      </c>
      <c r="K30" t="n">
        <v>1246</v>
      </c>
      <c r="L30" t="n">
        <v>0</v>
      </c>
      <c r="M30" t="n">
        <v>1246</v>
      </c>
      <c r="N30" t="n">
        <v>24138.5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4984</v>
      </c>
      <c r="F31" t="n">
        <v>0</v>
      </c>
      <c r="G31" t="n">
        <v>0</v>
      </c>
      <c r="H31" t="n">
        <v>0</v>
      </c>
      <c r="I31" t="n">
        <v>4984</v>
      </c>
      <c r="J31" t="n">
        <v>0</v>
      </c>
      <c r="K31" t="n">
        <v>1246</v>
      </c>
      <c r="L31" t="n">
        <v>0</v>
      </c>
      <c r="M31" t="n">
        <v>1246</v>
      </c>
      <c r="N31" t="n">
        <v>25384.5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42</v>
      </c>
      <c r="C32" t="n">
        <v>42</v>
      </c>
      <c r="D32" t="n">
        <v>0</v>
      </c>
      <c r="E32" t="n">
        <v>4984</v>
      </c>
      <c r="F32" t="n">
        <v>0</v>
      </c>
      <c r="G32" t="n">
        <v>42</v>
      </c>
      <c r="H32" t="n">
        <v>42</v>
      </c>
      <c r="I32" t="n">
        <v>4942</v>
      </c>
      <c r="J32" t="n">
        <v>0</v>
      </c>
      <c r="K32" t="n">
        <v>1235.5</v>
      </c>
      <c r="L32" t="n">
        <v>0</v>
      </c>
      <c r="M32" t="n">
        <v>1235.5</v>
      </c>
      <c r="N32" t="n">
        <v>26620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124</v>
      </c>
      <c r="C33" t="n">
        <v>124</v>
      </c>
      <c r="D33" t="n">
        <v>0</v>
      </c>
      <c r="E33" t="n">
        <v>4942</v>
      </c>
      <c r="F33" t="n">
        <v>0</v>
      </c>
      <c r="G33" t="n">
        <v>124</v>
      </c>
      <c r="H33" t="n">
        <v>124</v>
      </c>
      <c r="I33" t="n">
        <v>4818</v>
      </c>
      <c r="J33" t="n">
        <v>0</v>
      </c>
      <c r="K33" t="n">
        <v>1204.5</v>
      </c>
      <c r="L33" t="n">
        <v>0</v>
      </c>
      <c r="M33" t="n">
        <v>1204.5</v>
      </c>
      <c r="N33" t="n">
        <v>27824.5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195</v>
      </c>
      <c r="C34" t="n">
        <v>195</v>
      </c>
      <c r="D34" t="n">
        <v>0</v>
      </c>
      <c r="E34" t="n">
        <v>4818</v>
      </c>
      <c r="F34" t="n">
        <v>0</v>
      </c>
      <c r="G34" t="n">
        <v>195</v>
      </c>
      <c r="H34" t="n">
        <v>195</v>
      </c>
      <c r="I34" t="n">
        <v>4623</v>
      </c>
      <c r="J34" t="n">
        <v>0</v>
      </c>
      <c r="K34" t="n">
        <v>1155.75</v>
      </c>
      <c r="L34" t="n">
        <v>0</v>
      </c>
      <c r="M34" t="n">
        <v>1155.75</v>
      </c>
      <c r="N34" t="n">
        <v>28980.25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242</v>
      </c>
      <c r="C35" t="n">
        <v>242</v>
      </c>
      <c r="D35" t="n">
        <v>0</v>
      </c>
      <c r="E35" t="n">
        <v>4623</v>
      </c>
      <c r="F35" t="n">
        <v>0</v>
      </c>
      <c r="G35" t="n">
        <v>242</v>
      </c>
      <c r="H35" t="n">
        <v>242</v>
      </c>
      <c r="I35" t="n">
        <v>4381</v>
      </c>
      <c r="J35" t="n">
        <v>0</v>
      </c>
      <c r="K35" t="n">
        <v>1095.25</v>
      </c>
      <c r="L35" t="n">
        <v>0</v>
      </c>
      <c r="M35" t="n">
        <v>1095.25</v>
      </c>
      <c r="N35" t="n">
        <v>30075.5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192</v>
      </c>
      <c r="C36" t="n">
        <v>192</v>
      </c>
      <c r="D36" t="n">
        <v>0</v>
      </c>
      <c r="E36" t="n">
        <v>4381</v>
      </c>
      <c r="F36" t="n">
        <v>0</v>
      </c>
      <c r="G36" t="n">
        <v>192</v>
      </c>
      <c r="H36" t="n">
        <v>192</v>
      </c>
      <c r="I36" t="n">
        <v>4189</v>
      </c>
      <c r="J36" t="n">
        <v>0</v>
      </c>
      <c r="K36" t="n">
        <v>1047.25</v>
      </c>
      <c r="L36" t="n">
        <v>0</v>
      </c>
      <c r="M36" t="n">
        <v>1047.25</v>
      </c>
      <c r="N36" t="n">
        <v>31122.75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400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300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200</v>
      </c>
      <c r="C4" t="n">
        <v>200</v>
      </c>
      <c r="D4" t="n">
        <v>0</v>
      </c>
      <c r="E4" t="n">
        <v>200</v>
      </c>
      <c r="F4" t="n">
        <v>0</v>
      </c>
      <c r="G4" t="n">
        <v>200</v>
      </c>
      <c r="H4" t="n">
        <v>200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87.5</v>
      </c>
      <c r="P4" t="n">
        <v>500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200</v>
      </c>
      <c r="C5" t="n">
        <v>200</v>
      </c>
      <c r="D5" t="n">
        <v>0</v>
      </c>
      <c r="E5" t="n">
        <v>0</v>
      </c>
      <c r="F5" t="n">
        <v>0</v>
      </c>
      <c r="G5" t="n">
        <v>200</v>
      </c>
      <c r="H5" t="n">
        <v>0</v>
      </c>
      <c r="I5" t="n">
        <v>0</v>
      </c>
      <c r="J5" t="n">
        <v>200</v>
      </c>
      <c r="K5" t="n">
        <v>0</v>
      </c>
      <c r="L5" t="n">
        <v>200</v>
      </c>
      <c r="M5" t="n">
        <v>200</v>
      </c>
      <c r="N5" t="n">
        <v>287.5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464</v>
      </c>
      <c r="C6" t="n">
        <v>464</v>
      </c>
      <c r="D6" t="n">
        <v>400</v>
      </c>
      <c r="E6" t="n">
        <v>0</v>
      </c>
      <c r="F6" t="n">
        <v>200</v>
      </c>
      <c r="G6" t="n">
        <v>664</v>
      </c>
      <c r="H6" t="n">
        <v>400</v>
      </c>
      <c r="I6" t="n">
        <v>0</v>
      </c>
      <c r="J6" t="n">
        <v>264</v>
      </c>
      <c r="K6" t="n">
        <v>0</v>
      </c>
      <c r="L6" t="n">
        <v>264</v>
      </c>
      <c r="M6" t="n">
        <v>264</v>
      </c>
      <c r="N6" t="n">
        <v>551.5</v>
      </c>
      <c r="P6" t="n">
        <v>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624</v>
      </c>
      <c r="C7" t="n">
        <v>624</v>
      </c>
      <c r="D7" t="n">
        <v>300</v>
      </c>
      <c r="E7" t="n">
        <v>0</v>
      </c>
      <c r="F7" t="n">
        <v>264</v>
      </c>
      <c r="G7" t="n">
        <v>888</v>
      </c>
      <c r="H7" t="n">
        <v>300</v>
      </c>
      <c r="I7" t="n">
        <v>0</v>
      </c>
      <c r="J7" t="n">
        <v>588</v>
      </c>
      <c r="K7" t="n">
        <v>0</v>
      </c>
      <c r="L7" t="n">
        <v>588</v>
      </c>
      <c r="M7" t="n">
        <v>588</v>
      </c>
      <c r="N7" t="n">
        <v>1139.5</v>
      </c>
      <c r="P7" t="n">
        <v>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1060</v>
      </c>
      <c r="C8" t="n">
        <v>1060</v>
      </c>
      <c r="D8" t="n">
        <v>500</v>
      </c>
      <c r="E8" t="n">
        <v>0</v>
      </c>
      <c r="F8" t="n">
        <v>588</v>
      </c>
      <c r="G8" t="n">
        <v>1648</v>
      </c>
      <c r="H8" t="n">
        <v>500</v>
      </c>
      <c r="I8" t="n">
        <v>0</v>
      </c>
      <c r="J8" t="n">
        <v>1148</v>
      </c>
      <c r="K8" t="n">
        <v>0</v>
      </c>
      <c r="L8" t="n">
        <v>1148</v>
      </c>
      <c r="M8" t="n">
        <v>1148</v>
      </c>
      <c r="N8" t="n">
        <v>2287.5</v>
      </c>
      <c r="P8" t="n">
        <v>1248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984</v>
      </c>
      <c r="C9" t="n">
        <v>984</v>
      </c>
      <c r="D9" t="n">
        <v>300</v>
      </c>
      <c r="E9" t="n">
        <v>0</v>
      </c>
      <c r="F9" t="n">
        <v>1148</v>
      </c>
      <c r="G9" t="n">
        <v>2132</v>
      </c>
      <c r="H9" t="n">
        <v>300</v>
      </c>
      <c r="I9" t="n">
        <v>0</v>
      </c>
      <c r="J9" t="n">
        <v>1832</v>
      </c>
      <c r="K9" t="n">
        <v>0</v>
      </c>
      <c r="L9" t="n">
        <v>1832</v>
      </c>
      <c r="M9" t="n">
        <v>1832</v>
      </c>
      <c r="N9" t="n">
        <v>4119.5</v>
      </c>
      <c r="P9" t="n">
        <v>1868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1080</v>
      </c>
      <c r="C10" t="n">
        <v>1080</v>
      </c>
      <c r="D10" t="n">
        <v>364</v>
      </c>
      <c r="E10" t="n">
        <v>0</v>
      </c>
      <c r="F10" t="n">
        <v>1832</v>
      </c>
      <c r="G10" t="n">
        <v>2912</v>
      </c>
      <c r="H10" t="n">
        <v>364</v>
      </c>
      <c r="I10" t="n">
        <v>0</v>
      </c>
      <c r="J10" t="n">
        <v>2548</v>
      </c>
      <c r="K10" t="n">
        <v>0</v>
      </c>
      <c r="L10" t="n">
        <v>2548</v>
      </c>
      <c r="M10" t="n">
        <v>2548</v>
      </c>
      <c r="N10" t="n">
        <v>6667.5</v>
      </c>
      <c r="P10" t="n">
        <v>2512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880</v>
      </c>
      <c r="C11" t="n">
        <v>880</v>
      </c>
      <c r="D11" t="n">
        <v>436</v>
      </c>
      <c r="E11" t="n">
        <v>0</v>
      </c>
      <c r="F11" t="n">
        <v>2548</v>
      </c>
      <c r="G11" t="n">
        <v>3428</v>
      </c>
      <c r="H11" t="n">
        <v>436</v>
      </c>
      <c r="I11" t="n">
        <v>0</v>
      </c>
      <c r="J11" t="n">
        <v>2992</v>
      </c>
      <c r="K11" t="n">
        <v>0</v>
      </c>
      <c r="L11" t="n">
        <v>2992</v>
      </c>
      <c r="M11" t="n">
        <v>2992</v>
      </c>
      <c r="N11" t="n">
        <v>9659.5</v>
      </c>
      <c r="P11" t="n">
        <v>3028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948</v>
      </c>
      <c r="C12" t="n">
        <v>948</v>
      </c>
      <c r="D12" t="n">
        <v>364</v>
      </c>
      <c r="E12" t="n">
        <v>0</v>
      </c>
      <c r="F12" t="n">
        <v>2992</v>
      </c>
      <c r="G12" t="n">
        <v>3940</v>
      </c>
      <c r="H12" t="n">
        <v>364</v>
      </c>
      <c r="I12" t="n">
        <v>0</v>
      </c>
      <c r="J12" t="n">
        <v>3576</v>
      </c>
      <c r="K12" t="n">
        <v>0</v>
      </c>
      <c r="L12" t="n">
        <v>3576</v>
      </c>
      <c r="M12" t="n">
        <v>3576</v>
      </c>
      <c r="N12" t="n">
        <v>13235.5</v>
      </c>
      <c r="P12" t="n">
        <v>3488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644</v>
      </c>
      <c r="C13" t="n">
        <v>644</v>
      </c>
      <c r="D13" t="n">
        <v>488</v>
      </c>
      <c r="E13" t="n">
        <v>0</v>
      </c>
      <c r="F13" t="n">
        <v>3576</v>
      </c>
      <c r="G13" t="n">
        <v>4220</v>
      </c>
      <c r="H13" t="n">
        <v>488</v>
      </c>
      <c r="I13" t="n">
        <v>0</v>
      </c>
      <c r="J13" t="n">
        <v>3732</v>
      </c>
      <c r="K13" t="n">
        <v>0</v>
      </c>
      <c r="L13" t="n">
        <v>3732</v>
      </c>
      <c r="M13" t="n">
        <v>3732</v>
      </c>
      <c r="N13" t="n">
        <v>16967.5</v>
      </c>
      <c r="P13" t="n">
        <v>2884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208</v>
      </c>
      <c r="C14" t="n">
        <v>208</v>
      </c>
      <c r="D14" t="n">
        <v>1248</v>
      </c>
      <c r="E14" t="n">
        <v>0</v>
      </c>
      <c r="F14" t="n">
        <v>3732</v>
      </c>
      <c r="G14" t="n">
        <v>3940</v>
      </c>
      <c r="H14" t="n">
        <v>1248</v>
      </c>
      <c r="I14" t="n">
        <v>0</v>
      </c>
      <c r="J14" t="n">
        <v>2692</v>
      </c>
      <c r="K14" t="n">
        <v>0</v>
      </c>
      <c r="L14" t="n">
        <v>2692</v>
      </c>
      <c r="M14" t="n">
        <v>2692</v>
      </c>
      <c r="N14" t="n">
        <v>19659.5</v>
      </c>
      <c r="P14" t="n">
        <v>1224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1868</v>
      </c>
      <c r="E15" t="n">
        <v>0</v>
      </c>
      <c r="F15" t="n">
        <v>2692</v>
      </c>
      <c r="G15" t="n">
        <v>2692</v>
      </c>
      <c r="H15" t="n">
        <v>1868</v>
      </c>
      <c r="I15" t="n">
        <v>0</v>
      </c>
      <c r="J15" t="n">
        <v>824</v>
      </c>
      <c r="K15" t="n">
        <v>0</v>
      </c>
      <c r="L15" t="n">
        <v>824</v>
      </c>
      <c r="M15" t="n">
        <v>824</v>
      </c>
      <c r="N15" t="n">
        <v>20483.5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2512</v>
      </c>
      <c r="E16" t="n">
        <v>0</v>
      </c>
      <c r="F16" t="n">
        <v>824</v>
      </c>
      <c r="G16" t="n">
        <v>824</v>
      </c>
      <c r="H16" t="n">
        <v>824</v>
      </c>
      <c r="I16" t="n">
        <v>1688</v>
      </c>
      <c r="J16" t="n">
        <v>0</v>
      </c>
      <c r="K16" t="n">
        <v>422</v>
      </c>
      <c r="L16" t="n">
        <v>0</v>
      </c>
      <c r="M16" t="n">
        <v>422</v>
      </c>
      <c r="N16" t="n">
        <v>20905.5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3028</v>
      </c>
      <c r="E17" t="n">
        <v>1688</v>
      </c>
      <c r="F17" t="n">
        <v>0</v>
      </c>
      <c r="G17" t="n">
        <v>0</v>
      </c>
      <c r="H17" t="n">
        <v>0</v>
      </c>
      <c r="I17" t="n">
        <v>4716</v>
      </c>
      <c r="J17" t="n">
        <v>0</v>
      </c>
      <c r="K17" t="n">
        <v>1179</v>
      </c>
      <c r="L17" t="n">
        <v>0</v>
      </c>
      <c r="M17" t="n">
        <v>1179</v>
      </c>
      <c r="N17" t="n">
        <v>22084.5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3488</v>
      </c>
      <c r="E18" t="n">
        <v>4716</v>
      </c>
      <c r="F18" t="n">
        <v>0</v>
      </c>
      <c r="G18" t="n">
        <v>0</v>
      </c>
      <c r="H18" t="n">
        <v>0</v>
      </c>
      <c r="I18" t="n">
        <v>8204</v>
      </c>
      <c r="J18" t="n">
        <v>0</v>
      </c>
      <c r="K18" t="n">
        <v>2051</v>
      </c>
      <c r="L18" t="n">
        <v>0</v>
      </c>
      <c r="M18" t="n">
        <v>2051</v>
      </c>
      <c r="N18" t="n">
        <v>24135.5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2884</v>
      </c>
      <c r="E19" t="n">
        <v>8204</v>
      </c>
      <c r="F19" t="n">
        <v>0</v>
      </c>
      <c r="G19" t="n">
        <v>0</v>
      </c>
      <c r="H19" t="n">
        <v>0</v>
      </c>
      <c r="I19" t="n">
        <v>11088</v>
      </c>
      <c r="J19" t="n">
        <v>0</v>
      </c>
      <c r="K19" t="n">
        <v>2772</v>
      </c>
      <c r="L19" t="n">
        <v>0</v>
      </c>
      <c r="M19" t="n">
        <v>2772</v>
      </c>
      <c r="N19" t="n">
        <v>26907.5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424</v>
      </c>
      <c r="E20" t="n">
        <v>11088</v>
      </c>
      <c r="F20" t="n">
        <v>0</v>
      </c>
      <c r="G20" t="n">
        <v>0</v>
      </c>
      <c r="H20" t="n">
        <v>0</v>
      </c>
      <c r="I20" t="n">
        <v>11512</v>
      </c>
      <c r="J20" t="n">
        <v>0</v>
      </c>
      <c r="K20" t="n">
        <v>2878</v>
      </c>
      <c r="L20" t="n">
        <v>0</v>
      </c>
      <c r="M20" t="n">
        <v>2878</v>
      </c>
      <c r="N20" t="n">
        <v>29785.5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11512</v>
      </c>
      <c r="F21" t="n">
        <v>0</v>
      </c>
      <c r="G21" t="n">
        <v>0</v>
      </c>
      <c r="H21" t="n">
        <v>0</v>
      </c>
      <c r="I21" t="n">
        <v>11512</v>
      </c>
      <c r="J21" t="n">
        <v>0</v>
      </c>
      <c r="K21" t="n">
        <v>2878</v>
      </c>
      <c r="L21" t="n">
        <v>0</v>
      </c>
      <c r="M21" t="n">
        <v>2878</v>
      </c>
      <c r="N21" t="n">
        <v>32663.5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11512</v>
      </c>
      <c r="F22" t="n">
        <v>0</v>
      </c>
      <c r="G22" t="n">
        <v>0</v>
      </c>
      <c r="H22" t="n">
        <v>0</v>
      </c>
      <c r="I22" t="n">
        <v>11512</v>
      </c>
      <c r="J22" t="n">
        <v>0</v>
      </c>
      <c r="K22" t="n">
        <v>2878</v>
      </c>
      <c r="L22" t="n">
        <v>0</v>
      </c>
      <c r="M22" t="n">
        <v>2878</v>
      </c>
      <c r="N22" t="n">
        <v>35541.5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11512</v>
      </c>
      <c r="F23" t="n">
        <v>0</v>
      </c>
      <c r="G23" t="n">
        <v>0</v>
      </c>
      <c r="H23" t="n">
        <v>0</v>
      </c>
      <c r="I23" t="n">
        <v>11512</v>
      </c>
      <c r="J23" t="n">
        <v>0</v>
      </c>
      <c r="K23" t="n">
        <v>2878</v>
      </c>
      <c r="L23" t="n">
        <v>0</v>
      </c>
      <c r="M23" t="n">
        <v>2878</v>
      </c>
      <c r="N23" t="n">
        <v>38419.5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11512</v>
      </c>
      <c r="F24" t="n">
        <v>0</v>
      </c>
      <c r="G24" t="n">
        <v>0</v>
      </c>
      <c r="H24" t="n">
        <v>0</v>
      </c>
      <c r="I24" t="n">
        <v>11512</v>
      </c>
      <c r="J24" t="n">
        <v>0</v>
      </c>
      <c r="K24" t="n">
        <v>2878</v>
      </c>
      <c r="L24" t="n">
        <v>0</v>
      </c>
      <c r="M24" t="n">
        <v>2878</v>
      </c>
      <c r="N24" t="n">
        <v>41297.5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11512</v>
      </c>
      <c r="F25" t="n">
        <v>0</v>
      </c>
      <c r="G25" t="n">
        <v>0</v>
      </c>
      <c r="H25" t="n">
        <v>0</v>
      </c>
      <c r="I25" t="n">
        <v>11512</v>
      </c>
      <c r="J25" t="n">
        <v>0</v>
      </c>
      <c r="K25" t="n">
        <v>2878</v>
      </c>
      <c r="L25" t="n">
        <v>0</v>
      </c>
      <c r="M25" t="n">
        <v>2878</v>
      </c>
      <c r="N25" t="n">
        <v>44175.5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11512</v>
      </c>
      <c r="F26" t="n">
        <v>0</v>
      </c>
      <c r="G26" t="n">
        <v>0</v>
      </c>
      <c r="H26" t="n">
        <v>0</v>
      </c>
      <c r="I26" t="n">
        <v>11512</v>
      </c>
      <c r="J26" t="n">
        <v>0</v>
      </c>
      <c r="K26" t="n">
        <v>2878</v>
      </c>
      <c r="L26" t="n">
        <v>0</v>
      </c>
      <c r="M26" t="n">
        <v>2878</v>
      </c>
      <c r="N26" t="n">
        <v>47053.5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11512</v>
      </c>
      <c r="F27" t="n">
        <v>0</v>
      </c>
      <c r="G27" t="n">
        <v>0</v>
      </c>
      <c r="H27" t="n">
        <v>0</v>
      </c>
      <c r="I27" t="n">
        <v>11512</v>
      </c>
      <c r="J27" t="n">
        <v>0</v>
      </c>
      <c r="K27" t="n">
        <v>2878</v>
      </c>
      <c r="L27" t="n">
        <v>0</v>
      </c>
      <c r="M27" t="n">
        <v>2878</v>
      </c>
      <c r="N27" t="n">
        <v>49931.5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11512</v>
      </c>
      <c r="F28" t="n">
        <v>0</v>
      </c>
      <c r="G28" t="n">
        <v>0</v>
      </c>
      <c r="H28" t="n">
        <v>0</v>
      </c>
      <c r="I28" t="n">
        <v>11512</v>
      </c>
      <c r="J28" t="n">
        <v>0</v>
      </c>
      <c r="K28" t="n">
        <v>2878</v>
      </c>
      <c r="L28" t="n">
        <v>0</v>
      </c>
      <c r="M28" t="n">
        <v>2878</v>
      </c>
      <c r="N28" t="n">
        <v>52809.5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11512</v>
      </c>
      <c r="F29" t="n">
        <v>0</v>
      </c>
      <c r="G29" t="n">
        <v>0</v>
      </c>
      <c r="H29" t="n">
        <v>0</v>
      </c>
      <c r="I29" t="n">
        <v>11512</v>
      </c>
      <c r="J29" t="n">
        <v>0</v>
      </c>
      <c r="K29" t="n">
        <v>2878</v>
      </c>
      <c r="L29" t="n">
        <v>0</v>
      </c>
      <c r="M29" t="n">
        <v>2878</v>
      </c>
      <c r="N29" t="n">
        <v>55687.5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11512</v>
      </c>
      <c r="F30" t="n">
        <v>0</v>
      </c>
      <c r="G30" t="n">
        <v>0</v>
      </c>
      <c r="H30" t="n">
        <v>0</v>
      </c>
      <c r="I30" t="n">
        <v>11512</v>
      </c>
      <c r="J30" t="n">
        <v>0</v>
      </c>
      <c r="K30" t="n">
        <v>2878</v>
      </c>
      <c r="L30" t="n">
        <v>0</v>
      </c>
      <c r="M30" t="n">
        <v>2878</v>
      </c>
      <c r="N30" t="n">
        <v>58565.5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11512</v>
      </c>
      <c r="F31" t="n">
        <v>0</v>
      </c>
      <c r="G31" t="n">
        <v>0</v>
      </c>
      <c r="H31" t="n">
        <v>0</v>
      </c>
      <c r="I31" t="n">
        <v>11512</v>
      </c>
      <c r="J31" t="n">
        <v>0</v>
      </c>
      <c r="K31" t="n">
        <v>2878</v>
      </c>
      <c r="L31" t="n">
        <v>0</v>
      </c>
      <c r="M31" t="n">
        <v>2878</v>
      </c>
      <c r="N31" t="n">
        <v>61443.5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11512</v>
      </c>
      <c r="F32" t="n">
        <v>0</v>
      </c>
      <c r="G32" t="n">
        <v>0</v>
      </c>
      <c r="H32" t="n">
        <v>0</v>
      </c>
      <c r="I32" t="n">
        <v>11512</v>
      </c>
      <c r="J32" t="n">
        <v>0</v>
      </c>
      <c r="K32" t="n">
        <v>2878</v>
      </c>
      <c r="L32" t="n">
        <v>0</v>
      </c>
      <c r="M32" t="n">
        <v>2878</v>
      </c>
      <c r="N32" t="n">
        <v>64321.5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11512</v>
      </c>
      <c r="F33" t="n">
        <v>0</v>
      </c>
      <c r="G33" t="n">
        <v>0</v>
      </c>
      <c r="H33" t="n">
        <v>0</v>
      </c>
      <c r="I33" t="n">
        <v>11512</v>
      </c>
      <c r="J33" t="n">
        <v>0</v>
      </c>
      <c r="K33" t="n">
        <v>2878</v>
      </c>
      <c r="L33" t="n">
        <v>0</v>
      </c>
      <c r="M33" t="n">
        <v>2878</v>
      </c>
      <c r="N33" t="n">
        <v>67199.5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11512</v>
      </c>
      <c r="F34" t="n">
        <v>0</v>
      </c>
      <c r="G34" t="n">
        <v>0</v>
      </c>
      <c r="H34" t="n">
        <v>0</v>
      </c>
      <c r="I34" t="n">
        <v>11512</v>
      </c>
      <c r="J34" t="n">
        <v>0</v>
      </c>
      <c r="K34" t="n">
        <v>2878</v>
      </c>
      <c r="L34" t="n">
        <v>0</v>
      </c>
      <c r="M34" t="n">
        <v>2878</v>
      </c>
      <c r="N34" t="n">
        <v>70077.5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11512</v>
      </c>
      <c r="F35" t="n">
        <v>0</v>
      </c>
      <c r="G35" t="n">
        <v>0</v>
      </c>
      <c r="H35" t="n">
        <v>0</v>
      </c>
      <c r="I35" t="n">
        <v>11512</v>
      </c>
      <c r="J35" t="n">
        <v>0</v>
      </c>
      <c r="K35" t="n">
        <v>2878</v>
      </c>
      <c r="L35" t="n">
        <v>0</v>
      </c>
      <c r="M35" t="n">
        <v>2878</v>
      </c>
      <c r="N35" t="n">
        <v>72955.5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11512</v>
      </c>
      <c r="F36" t="n">
        <v>0</v>
      </c>
      <c r="G36" t="n">
        <v>0</v>
      </c>
      <c r="H36" t="n">
        <v>0</v>
      </c>
      <c r="I36" t="n">
        <v>11512</v>
      </c>
      <c r="J36" t="n">
        <v>0</v>
      </c>
      <c r="K36" t="n">
        <v>2878</v>
      </c>
      <c r="L36" t="n">
        <v>0</v>
      </c>
      <c r="M36" t="n">
        <v>2878</v>
      </c>
      <c r="N36" t="n">
        <v>75833.5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600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400</v>
      </c>
      <c r="C4" t="n">
        <v>400</v>
      </c>
      <c r="D4" t="n">
        <v>600</v>
      </c>
      <c r="E4" t="n">
        <v>200</v>
      </c>
      <c r="F4" t="n">
        <v>0</v>
      </c>
      <c r="G4" t="n">
        <v>400</v>
      </c>
      <c r="H4" t="n">
        <v>400</v>
      </c>
      <c r="I4" t="n">
        <v>400</v>
      </c>
      <c r="J4" t="n">
        <v>0</v>
      </c>
      <c r="K4" t="n">
        <v>100</v>
      </c>
      <c r="L4" t="n">
        <v>0</v>
      </c>
      <c r="M4" t="n">
        <v>100</v>
      </c>
      <c r="N4" t="n">
        <v>187.5</v>
      </c>
      <c r="P4" t="n">
        <v>400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300</v>
      </c>
      <c r="C5" t="n">
        <v>300</v>
      </c>
      <c r="D5" t="n">
        <v>0</v>
      </c>
      <c r="E5" t="n">
        <v>400</v>
      </c>
      <c r="F5" t="n">
        <v>0</v>
      </c>
      <c r="G5" t="n">
        <v>300</v>
      </c>
      <c r="H5" t="n">
        <v>300</v>
      </c>
      <c r="I5" t="n">
        <v>100</v>
      </c>
      <c r="J5" t="n">
        <v>0</v>
      </c>
      <c r="K5" t="n">
        <v>25</v>
      </c>
      <c r="L5" t="n">
        <v>0</v>
      </c>
      <c r="M5" t="n">
        <v>25</v>
      </c>
      <c r="N5" t="n">
        <v>212.5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500</v>
      </c>
      <c r="C6" t="n">
        <v>500</v>
      </c>
      <c r="D6" t="n">
        <v>400</v>
      </c>
      <c r="E6" t="n">
        <v>100</v>
      </c>
      <c r="F6" t="n">
        <v>0</v>
      </c>
      <c r="G6" t="n">
        <v>500</v>
      </c>
      <c r="H6" t="n">
        <v>500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212.5</v>
      </c>
      <c r="P6" t="n">
        <v>500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300</v>
      </c>
      <c r="E7" t="n">
        <v>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212.5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364</v>
      </c>
      <c r="C8" t="n">
        <v>364</v>
      </c>
      <c r="D8" t="n">
        <v>500</v>
      </c>
      <c r="E8" t="n">
        <v>0</v>
      </c>
      <c r="F8" t="n">
        <v>0</v>
      </c>
      <c r="G8" t="n">
        <v>364</v>
      </c>
      <c r="H8" t="n">
        <v>364</v>
      </c>
      <c r="I8" t="n">
        <v>136</v>
      </c>
      <c r="J8" t="n">
        <v>0</v>
      </c>
      <c r="K8" t="n">
        <v>34</v>
      </c>
      <c r="L8" t="n">
        <v>0</v>
      </c>
      <c r="M8" t="n">
        <v>34</v>
      </c>
      <c r="N8" t="n">
        <v>246.5</v>
      </c>
      <c r="P8" t="n">
        <v>364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488</v>
      </c>
      <c r="C9" t="n">
        <v>488</v>
      </c>
      <c r="D9" t="n">
        <v>300</v>
      </c>
      <c r="E9" t="n">
        <v>136</v>
      </c>
      <c r="F9" t="n">
        <v>0</v>
      </c>
      <c r="G9" t="n">
        <v>488</v>
      </c>
      <c r="H9" t="n">
        <v>436</v>
      </c>
      <c r="I9" t="n">
        <v>0</v>
      </c>
      <c r="J9" t="n">
        <v>52</v>
      </c>
      <c r="K9" t="n">
        <v>0</v>
      </c>
      <c r="L9" t="n">
        <v>52</v>
      </c>
      <c r="M9" t="n">
        <v>52</v>
      </c>
      <c r="N9" t="n">
        <v>298.5</v>
      </c>
      <c r="P9" t="n">
        <v>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1248</v>
      </c>
      <c r="C10" t="n">
        <v>1248</v>
      </c>
      <c r="D10" t="n">
        <v>364</v>
      </c>
      <c r="E10" t="n">
        <v>0</v>
      </c>
      <c r="F10" t="n">
        <v>52</v>
      </c>
      <c r="G10" t="n">
        <v>1300</v>
      </c>
      <c r="H10" t="n">
        <v>364</v>
      </c>
      <c r="I10" t="n">
        <v>0</v>
      </c>
      <c r="J10" t="n">
        <v>936</v>
      </c>
      <c r="K10" t="n">
        <v>0</v>
      </c>
      <c r="L10" t="n">
        <v>936</v>
      </c>
      <c r="M10" t="n">
        <v>936</v>
      </c>
      <c r="N10" t="n">
        <v>1234.5</v>
      </c>
      <c r="P10" t="n">
        <v>1248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1868</v>
      </c>
      <c r="C11" t="n">
        <v>1868</v>
      </c>
      <c r="D11" t="n">
        <v>488</v>
      </c>
      <c r="E11" t="n">
        <v>0</v>
      </c>
      <c r="F11" t="n">
        <v>936</v>
      </c>
      <c r="G11" t="n">
        <v>2804</v>
      </c>
      <c r="H11" t="n">
        <v>488</v>
      </c>
      <c r="I11" t="n">
        <v>0</v>
      </c>
      <c r="J11" t="n">
        <v>2316</v>
      </c>
      <c r="K11" t="n">
        <v>0</v>
      </c>
      <c r="L11" t="n">
        <v>2316</v>
      </c>
      <c r="M11" t="n">
        <v>2316</v>
      </c>
      <c r="N11" t="n">
        <v>3550.5</v>
      </c>
      <c r="P11" t="n">
        <v>1868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2512</v>
      </c>
      <c r="C12" t="n">
        <v>2512</v>
      </c>
      <c r="D12" t="n">
        <v>1248</v>
      </c>
      <c r="E12" t="n">
        <v>0</v>
      </c>
      <c r="F12" t="n">
        <v>2316</v>
      </c>
      <c r="G12" t="n">
        <v>4828</v>
      </c>
      <c r="H12" t="n">
        <v>1248</v>
      </c>
      <c r="I12" t="n">
        <v>0</v>
      </c>
      <c r="J12" t="n">
        <v>3580</v>
      </c>
      <c r="K12" t="n">
        <v>0</v>
      </c>
      <c r="L12" t="n">
        <v>3580</v>
      </c>
      <c r="M12" t="n">
        <v>3580</v>
      </c>
      <c r="N12" t="n">
        <v>7130.5</v>
      </c>
      <c r="P12" t="n">
        <v>2512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3028</v>
      </c>
      <c r="C13" t="n">
        <v>3028</v>
      </c>
      <c r="D13" t="n">
        <v>1868</v>
      </c>
      <c r="E13" t="n">
        <v>0</v>
      </c>
      <c r="F13" t="n">
        <v>3580</v>
      </c>
      <c r="G13" t="n">
        <v>6608</v>
      </c>
      <c r="H13" t="n">
        <v>1868</v>
      </c>
      <c r="I13" t="n">
        <v>0</v>
      </c>
      <c r="J13" t="n">
        <v>4740</v>
      </c>
      <c r="K13" t="n">
        <v>0</v>
      </c>
      <c r="L13" t="n">
        <v>4740</v>
      </c>
      <c r="M13" t="n">
        <v>4740</v>
      </c>
      <c r="N13" t="n">
        <v>11870.5</v>
      </c>
      <c r="P13" t="n">
        <v>3028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3488</v>
      </c>
      <c r="C14" t="n">
        <v>3488</v>
      </c>
      <c r="D14" t="n">
        <v>2512</v>
      </c>
      <c r="E14" t="n">
        <v>0</v>
      </c>
      <c r="F14" t="n">
        <v>4740</v>
      </c>
      <c r="G14" t="n">
        <v>8228</v>
      </c>
      <c r="H14" t="n">
        <v>2512</v>
      </c>
      <c r="I14" t="n">
        <v>0</v>
      </c>
      <c r="J14" t="n">
        <v>5716</v>
      </c>
      <c r="K14" t="n">
        <v>0</v>
      </c>
      <c r="L14" t="n">
        <v>5716</v>
      </c>
      <c r="M14" t="n">
        <v>5716</v>
      </c>
      <c r="N14" t="n">
        <v>17586.5</v>
      </c>
      <c r="P14" t="n">
        <v>3488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2884</v>
      </c>
      <c r="C15" t="n">
        <v>2884</v>
      </c>
      <c r="D15" t="n">
        <v>3028</v>
      </c>
      <c r="E15" t="n">
        <v>0</v>
      </c>
      <c r="F15" t="n">
        <v>5716</v>
      </c>
      <c r="G15" t="n">
        <v>8600</v>
      </c>
      <c r="H15" t="n">
        <v>3028</v>
      </c>
      <c r="I15" t="n">
        <v>0</v>
      </c>
      <c r="J15" t="n">
        <v>5572</v>
      </c>
      <c r="K15" t="n">
        <v>0</v>
      </c>
      <c r="L15" t="n">
        <v>5572</v>
      </c>
      <c r="M15" t="n">
        <v>5572</v>
      </c>
      <c r="N15" t="n">
        <v>23158.5</v>
      </c>
      <c r="P15" t="n">
        <v>2884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1224</v>
      </c>
      <c r="C16" t="n">
        <v>1224</v>
      </c>
      <c r="D16" t="n">
        <v>3488</v>
      </c>
      <c r="E16" t="n">
        <v>0</v>
      </c>
      <c r="F16" t="n">
        <v>5572</v>
      </c>
      <c r="G16" t="n">
        <v>6796</v>
      </c>
      <c r="H16" t="n">
        <v>3488</v>
      </c>
      <c r="I16" t="n">
        <v>0</v>
      </c>
      <c r="J16" t="n">
        <v>3308</v>
      </c>
      <c r="K16" t="n">
        <v>0</v>
      </c>
      <c r="L16" t="n">
        <v>3308</v>
      </c>
      <c r="M16" t="n">
        <v>3308</v>
      </c>
      <c r="N16" t="n">
        <v>26466.5</v>
      </c>
      <c r="P16" t="n">
        <v>824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2884</v>
      </c>
      <c r="E17" t="n">
        <v>0</v>
      </c>
      <c r="F17" t="n">
        <v>3308</v>
      </c>
      <c r="G17" t="n">
        <v>3308</v>
      </c>
      <c r="H17" t="n">
        <v>2884</v>
      </c>
      <c r="I17" t="n">
        <v>0</v>
      </c>
      <c r="J17" t="n">
        <v>424</v>
      </c>
      <c r="K17" t="n">
        <v>0</v>
      </c>
      <c r="L17" t="n">
        <v>424</v>
      </c>
      <c r="M17" t="n">
        <v>424</v>
      </c>
      <c r="N17" t="n">
        <v>26890.5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824</v>
      </c>
      <c r="E18" t="n">
        <v>0</v>
      </c>
      <c r="F18" t="n">
        <v>424</v>
      </c>
      <c r="G18" t="n">
        <v>424</v>
      </c>
      <c r="H18" t="n">
        <v>424</v>
      </c>
      <c r="I18" t="n">
        <v>400</v>
      </c>
      <c r="J18" t="n">
        <v>0</v>
      </c>
      <c r="K18" t="n">
        <v>100</v>
      </c>
      <c r="L18" t="n">
        <v>0</v>
      </c>
      <c r="M18" t="n">
        <v>100</v>
      </c>
      <c r="N18" t="n">
        <v>26990.5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400</v>
      </c>
      <c r="F19" t="n">
        <v>0</v>
      </c>
      <c r="G19" t="n">
        <v>0</v>
      </c>
      <c r="H19" t="n">
        <v>0</v>
      </c>
      <c r="I19" t="n">
        <v>400</v>
      </c>
      <c r="J19" t="n">
        <v>0</v>
      </c>
      <c r="K19" t="n">
        <v>100</v>
      </c>
      <c r="L19" t="n">
        <v>0</v>
      </c>
      <c r="M19" t="n">
        <v>100</v>
      </c>
      <c r="N19" t="n">
        <v>27090.5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400</v>
      </c>
      <c r="F20" t="n">
        <v>0</v>
      </c>
      <c r="G20" t="n">
        <v>0</v>
      </c>
      <c r="H20" t="n">
        <v>0</v>
      </c>
      <c r="I20" t="n">
        <v>400</v>
      </c>
      <c r="J20" t="n">
        <v>0</v>
      </c>
      <c r="K20" t="n">
        <v>100</v>
      </c>
      <c r="L20" t="n">
        <v>0</v>
      </c>
      <c r="M20" t="n">
        <v>100</v>
      </c>
      <c r="N20" t="n">
        <v>27190.5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400</v>
      </c>
      <c r="F21" t="n">
        <v>0</v>
      </c>
      <c r="G21" t="n">
        <v>0</v>
      </c>
      <c r="H21" t="n">
        <v>0</v>
      </c>
      <c r="I21" t="n">
        <v>400</v>
      </c>
      <c r="J21" t="n">
        <v>0</v>
      </c>
      <c r="K21" t="n">
        <v>100</v>
      </c>
      <c r="L21" t="n">
        <v>0</v>
      </c>
      <c r="M21" t="n">
        <v>100</v>
      </c>
      <c r="N21" t="n">
        <v>27290.5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400</v>
      </c>
      <c r="F22" t="n">
        <v>0</v>
      </c>
      <c r="G22" t="n">
        <v>0</v>
      </c>
      <c r="H22" t="n">
        <v>0</v>
      </c>
      <c r="I22" t="n">
        <v>400</v>
      </c>
      <c r="J22" t="n">
        <v>0</v>
      </c>
      <c r="K22" t="n">
        <v>100</v>
      </c>
      <c r="L22" t="n">
        <v>0</v>
      </c>
      <c r="M22" t="n">
        <v>100</v>
      </c>
      <c r="N22" t="n">
        <v>27390.5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400</v>
      </c>
      <c r="F23" t="n">
        <v>0</v>
      </c>
      <c r="G23" t="n">
        <v>0</v>
      </c>
      <c r="H23" t="n">
        <v>0</v>
      </c>
      <c r="I23" t="n">
        <v>400</v>
      </c>
      <c r="J23" t="n">
        <v>0</v>
      </c>
      <c r="K23" t="n">
        <v>100</v>
      </c>
      <c r="L23" t="n">
        <v>0</v>
      </c>
      <c r="M23" t="n">
        <v>100</v>
      </c>
      <c r="N23" t="n">
        <v>27490.5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400</v>
      </c>
      <c r="F24" t="n">
        <v>0</v>
      </c>
      <c r="G24" t="n">
        <v>0</v>
      </c>
      <c r="H24" t="n">
        <v>0</v>
      </c>
      <c r="I24" t="n">
        <v>400</v>
      </c>
      <c r="J24" t="n">
        <v>0</v>
      </c>
      <c r="K24" t="n">
        <v>100</v>
      </c>
      <c r="L24" t="n">
        <v>0</v>
      </c>
      <c r="M24" t="n">
        <v>100</v>
      </c>
      <c r="N24" t="n">
        <v>27590.5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400</v>
      </c>
      <c r="F25" t="n">
        <v>0</v>
      </c>
      <c r="G25" t="n">
        <v>0</v>
      </c>
      <c r="H25" t="n">
        <v>0</v>
      </c>
      <c r="I25" t="n">
        <v>400</v>
      </c>
      <c r="J25" t="n">
        <v>0</v>
      </c>
      <c r="K25" t="n">
        <v>100</v>
      </c>
      <c r="L25" t="n">
        <v>0</v>
      </c>
      <c r="M25" t="n">
        <v>100</v>
      </c>
      <c r="N25" t="n">
        <v>27690.5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400</v>
      </c>
      <c r="F26" t="n">
        <v>0</v>
      </c>
      <c r="G26" t="n">
        <v>0</v>
      </c>
      <c r="H26" t="n">
        <v>0</v>
      </c>
      <c r="I26" t="n">
        <v>400</v>
      </c>
      <c r="J26" t="n">
        <v>0</v>
      </c>
      <c r="K26" t="n">
        <v>100</v>
      </c>
      <c r="L26" t="n">
        <v>0</v>
      </c>
      <c r="M26" t="n">
        <v>100</v>
      </c>
      <c r="N26" t="n">
        <v>27790.5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400</v>
      </c>
      <c r="F27" t="n">
        <v>0</v>
      </c>
      <c r="G27" t="n">
        <v>0</v>
      </c>
      <c r="H27" t="n">
        <v>0</v>
      </c>
      <c r="I27" t="n">
        <v>400</v>
      </c>
      <c r="J27" t="n">
        <v>0</v>
      </c>
      <c r="K27" t="n">
        <v>100</v>
      </c>
      <c r="L27" t="n">
        <v>0</v>
      </c>
      <c r="M27" t="n">
        <v>100</v>
      </c>
      <c r="N27" t="n">
        <v>27890.5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400</v>
      </c>
      <c r="F28" t="n">
        <v>0</v>
      </c>
      <c r="G28" t="n">
        <v>0</v>
      </c>
      <c r="H28" t="n">
        <v>0</v>
      </c>
      <c r="I28" t="n">
        <v>400</v>
      </c>
      <c r="J28" t="n">
        <v>0</v>
      </c>
      <c r="K28" t="n">
        <v>100</v>
      </c>
      <c r="L28" t="n">
        <v>0</v>
      </c>
      <c r="M28" t="n">
        <v>100</v>
      </c>
      <c r="N28" t="n">
        <v>27990.5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400</v>
      </c>
      <c r="F29" t="n">
        <v>0</v>
      </c>
      <c r="G29" t="n">
        <v>0</v>
      </c>
      <c r="H29" t="n">
        <v>0</v>
      </c>
      <c r="I29" t="n">
        <v>400</v>
      </c>
      <c r="J29" t="n">
        <v>0</v>
      </c>
      <c r="K29" t="n">
        <v>100</v>
      </c>
      <c r="L29" t="n">
        <v>0</v>
      </c>
      <c r="M29" t="n">
        <v>100</v>
      </c>
      <c r="N29" t="n">
        <v>28090.5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400</v>
      </c>
      <c r="F30" t="n">
        <v>0</v>
      </c>
      <c r="G30" t="n">
        <v>0</v>
      </c>
      <c r="H30" t="n">
        <v>0</v>
      </c>
      <c r="I30" t="n">
        <v>400</v>
      </c>
      <c r="J30" t="n">
        <v>0</v>
      </c>
      <c r="K30" t="n">
        <v>100</v>
      </c>
      <c r="L30" t="n">
        <v>0</v>
      </c>
      <c r="M30" t="n">
        <v>100</v>
      </c>
      <c r="N30" t="n">
        <v>28190.5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400</v>
      </c>
      <c r="F31" t="n">
        <v>0</v>
      </c>
      <c r="G31" t="n">
        <v>0</v>
      </c>
      <c r="H31" t="n">
        <v>0</v>
      </c>
      <c r="I31" t="n">
        <v>400</v>
      </c>
      <c r="J31" t="n">
        <v>0</v>
      </c>
      <c r="K31" t="n">
        <v>100</v>
      </c>
      <c r="L31" t="n">
        <v>0</v>
      </c>
      <c r="M31" t="n">
        <v>100</v>
      </c>
      <c r="N31" t="n">
        <v>28290.5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400</v>
      </c>
      <c r="F32" t="n">
        <v>0</v>
      </c>
      <c r="G32" t="n">
        <v>0</v>
      </c>
      <c r="H32" t="n">
        <v>0</v>
      </c>
      <c r="I32" t="n">
        <v>400</v>
      </c>
      <c r="J32" t="n">
        <v>0</v>
      </c>
      <c r="K32" t="n">
        <v>100</v>
      </c>
      <c r="L32" t="n">
        <v>0</v>
      </c>
      <c r="M32" t="n">
        <v>100</v>
      </c>
      <c r="N32" t="n">
        <v>28390.5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400</v>
      </c>
      <c r="F33" t="n">
        <v>0</v>
      </c>
      <c r="G33" t="n">
        <v>0</v>
      </c>
      <c r="H33" t="n">
        <v>0</v>
      </c>
      <c r="I33" t="n">
        <v>400</v>
      </c>
      <c r="J33" t="n">
        <v>0</v>
      </c>
      <c r="K33" t="n">
        <v>100</v>
      </c>
      <c r="L33" t="n">
        <v>0</v>
      </c>
      <c r="M33" t="n">
        <v>100</v>
      </c>
      <c r="N33" t="n">
        <v>28490.5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400</v>
      </c>
      <c r="F34" t="n">
        <v>0</v>
      </c>
      <c r="G34" t="n">
        <v>0</v>
      </c>
      <c r="H34" t="n">
        <v>0</v>
      </c>
      <c r="I34" t="n">
        <v>400</v>
      </c>
      <c r="J34" t="n">
        <v>0</v>
      </c>
      <c r="K34" t="n">
        <v>100</v>
      </c>
      <c r="L34" t="n">
        <v>0</v>
      </c>
      <c r="M34" t="n">
        <v>100</v>
      </c>
      <c r="N34" t="n">
        <v>28590.5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400</v>
      </c>
      <c r="F35" t="n">
        <v>0</v>
      </c>
      <c r="G35" t="n">
        <v>0</v>
      </c>
      <c r="H35" t="n">
        <v>0</v>
      </c>
      <c r="I35" t="n">
        <v>400</v>
      </c>
      <c r="J35" t="n">
        <v>0</v>
      </c>
      <c r="K35" t="n">
        <v>100</v>
      </c>
      <c r="L35" t="n">
        <v>0</v>
      </c>
      <c r="M35" t="n">
        <v>100</v>
      </c>
      <c r="N35" t="n">
        <v>28690.5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400</v>
      </c>
      <c r="F36" t="n">
        <v>0</v>
      </c>
      <c r="G36" t="n">
        <v>0</v>
      </c>
      <c r="H36" t="n">
        <v>0</v>
      </c>
      <c r="I36" t="n">
        <v>400</v>
      </c>
      <c r="J36" t="n">
        <v>0</v>
      </c>
      <c r="K36" t="n">
        <v>100</v>
      </c>
      <c r="L36" t="n">
        <v>0</v>
      </c>
      <c r="M36" t="n">
        <v>100</v>
      </c>
      <c r="N36" t="n">
        <v>28790.5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100</v>
      </c>
      <c r="C2" t="n">
        <v>100</v>
      </c>
      <c r="D2" t="n">
        <v>50</v>
      </c>
      <c r="E2" t="n">
        <v>100</v>
      </c>
      <c r="F2" t="n">
        <v>0</v>
      </c>
      <c r="G2" t="n">
        <v>100</v>
      </c>
      <c r="H2" t="n">
        <v>100</v>
      </c>
      <c r="I2" t="n">
        <v>50</v>
      </c>
      <c r="J2" t="n">
        <v>0</v>
      </c>
      <c r="K2" t="n">
        <v>12.5</v>
      </c>
      <c r="L2" t="n">
        <v>0</v>
      </c>
      <c r="M2" t="n">
        <v>12.5</v>
      </c>
      <c r="N2" t="n">
        <v>12.5</v>
      </c>
      <c r="P2" t="n">
        <v>300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100</v>
      </c>
      <c r="C3" t="n">
        <v>100</v>
      </c>
      <c r="D3" t="n">
        <v>50</v>
      </c>
      <c r="E3" t="n">
        <v>50</v>
      </c>
      <c r="F3" t="n">
        <v>0</v>
      </c>
      <c r="G3" t="n">
        <v>100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12.5</v>
      </c>
      <c r="P3" t="n">
        <v>400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0</v>
      </c>
      <c r="F4" t="n">
        <v>0</v>
      </c>
      <c r="G4" t="n">
        <v>100</v>
      </c>
      <c r="H4" t="n">
        <v>0</v>
      </c>
      <c r="I4" t="n">
        <v>0</v>
      </c>
      <c r="J4" t="n">
        <v>100</v>
      </c>
      <c r="K4" t="n">
        <v>0</v>
      </c>
      <c r="L4" t="n">
        <v>100</v>
      </c>
      <c r="M4" t="n">
        <v>100</v>
      </c>
      <c r="N4" t="n">
        <v>112.5</v>
      </c>
      <c r="P4" t="n">
        <v>500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0</v>
      </c>
      <c r="F5" t="n">
        <v>100</v>
      </c>
      <c r="G5" t="n">
        <v>200</v>
      </c>
      <c r="H5" t="n">
        <v>0</v>
      </c>
      <c r="I5" t="n">
        <v>0</v>
      </c>
      <c r="J5" t="n">
        <v>200</v>
      </c>
      <c r="K5" t="n">
        <v>0</v>
      </c>
      <c r="L5" t="n">
        <v>200</v>
      </c>
      <c r="M5" t="n">
        <v>200</v>
      </c>
      <c r="N5" t="n">
        <v>312.5</v>
      </c>
      <c r="P5" t="n">
        <v>400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100</v>
      </c>
      <c r="C6" t="n">
        <v>100</v>
      </c>
      <c r="D6" t="n">
        <v>200</v>
      </c>
      <c r="E6" t="n">
        <v>0</v>
      </c>
      <c r="F6" t="n">
        <v>200</v>
      </c>
      <c r="G6" t="n">
        <v>300</v>
      </c>
      <c r="H6" t="n">
        <v>200</v>
      </c>
      <c r="I6" t="n">
        <v>0</v>
      </c>
      <c r="J6" t="n">
        <v>100</v>
      </c>
      <c r="K6" t="n">
        <v>0</v>
      </c>
      <c r="L6" t="n">
        <v>100</v>
      </c>
      <c r="M6" t="n">
        <v>100</v>
      </c>
      <c r="N6" t="n">
        <v>412.5</v>
      </c>
      <c r="P6" t="n">
        <v>500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100</v>
      </c>
      <c r="C7" t="n">
        <v>100</v>
      </c>
      <c r="D7" t="n">
        <v>0</v>
      </c>
      <c r="E7" t="n">
        <v>0</v>
      </c>
      <c r="F7" t="n">
        <v>100</v>
      </c>
      <c r="G7" t="n">
        <v>200</v>
      </c>
      <c r="H7" t="n">
        <v>0</v>
      </c>
      <c r="I7" t="n">
        <v>0</v>
      </c>
      <c r="J7" t="n">
        <v>200</v>
      </c>
      <c r="K7" t="n">
        <v>0</v>
      </c>
      <c r="L7" t="n">
        <v>200</v>
      </c>
      <c r="M7" t="n">
        <v>200</v>
      </c>
      <c r="N7" t="n">
        <v>612.5</v>
      </c>
      <c r="P7" t="n">
        <v>400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100</v>
      </c>
      <c r="C8" t="n">
        <v>100</v>
      </c>
      <c r="D8" t="n">
        <v>200</v>
      </c>
      <c r="E8" t="n">
        <v>0</v>
      </c>
      <c r="F8" t="n">
        <v>200</v>
      </c>
      <c r="G8" t="n">
        <v>300</v>
      </c>
      <c r="H8" t="n">
        <v>200</v>
      </c>
      <c r="I8" t="n">
        <v>0</v>
      </c>
      <c r="J8" t="n">
        <v>100</v>
      </c>
      <c r="K8" t="n">
        <v>0</v>
      </c>
      <c r="L8" t="n">
        <v>100</v>
      </c>
      <c r="M8" t="n">
        <v>100</v>
      </c>
      <c r="N8" t="n">
        <v>712.5</v>
      </c>
      <c r="P8" t="n">
        <v>500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100</v>
      </c>
      <c r="C9" t="n">
        <v>100</v>
      </c>
      <c r="D9" t="n">
        <v>0</v>
      </c>
      <c r="E9" t="n">
        <v>0</v>
      </c>
      <c r="F9" t="n">
        <v>100</v>
      </c>
      <c r="G9" t="n">
        <v>200</v>
      </c>
      <c r="H9" t="n">
        <v>0</v>
      </c>
      <c r="I9" t="n">
        <v>0</v>
      </c>
      <c r="J9" t="n">
        <v>200</v>
      </c>
      <c r="K9" t="n">
        <v>0</v>
      </c>
      <c r="L9" t="n">
        <v>200</v>
      </c>
      <c r="M9" t="n">
        <v>200</v>
      </c>
      <c r="N9" t="n">
        <v>912.5</v>
      </c>
      <c r="P9" t="n">
        <v>200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100</v>
      </c>
      <c r="C10" t="n">
        <v>100</v>
      </c>
      <c r="D10" t="n">
        <v>400</v>
      </c>
      <c r="E10" t="n">
        <v>0</v>
      </c>
      <c r="F10" t="n">
        <v>200</v>
      </c>
      <c r="G10" t="n">
        <v>300</v>
      </c>
      <c r="H10" t="n">
        <v>300</v>
      </c>
      <c r="I10" t="n">
        <v>100</v>
      </c>
      <c r="J10" t="n">
        <v>0</v>
      </c>
      <c r="K10" t="n">
        <v>25</v>
      </c>
      <c r="L10" t="n">
        <v>0</v>
      </c>
      <c r="M10" t="n">
        <v>25</v>
      </c>
      <c r="N10" t="n">
        <v>937.5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100</v>
      </c>
      <c r="C11" t="n">
        <v>100</v>
      </c>
      <c r="D11" t="n">
        <v>300</v>
      </c>
      <c r="E11" t="n">
        <v>100</v>
      </c>
      <c r="F11" t="n">
        <v>0</v>
      </c>
      <c r="G11" t="n">
        <v>100</v>
      </c>
      <c r="H11" t="n">
        <v>100</v>
      </c>
      <c r="I11" t="n">
        <v>300</v>
      </c>
      <c r="J11" t="n">
        <v>0</v>
      </c>
      <c r="K11" t="n">
        <v>75</v>
      </c>
      <c r="L11" t="n">
        <v>0</v>
      </c>
      <c r="M11" t="n">
        <v>75</v>
      </c>
      <c r="N11" t="n">
        <v>1012.5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100</v>
      </c>
      <c r="C12" t="n">
        <v>100</v>
      </c>
      <c r="D12" t="n">
        <v>500</v>
      </c>
      <c r="E12" t="n">
        <v>300</v>
      </c>
      <c r="F12" t="n">
        <v>0</v>
      </c>
      <c r="G12" t="n">
        <v>100</v>
      </c>
      <c r="H12" t="n">
        <v>100</v>
      </c>
      <c r="I12" t="n">
        <v>700</v>
      </c>
      <c r="J12" t="n">
        <v>0</v>
      </c>
      <c r="K12" t="n">
        <v>175</v>
      </c>
      <c r="L12" t="n">
        <v>0</v>
      </c>
      <c r="M12" t="n">
        <v>175</v>
      </c>
      <c r="N12" t="n">
        <v>1187.5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100</v>
      </c>
      <c r="C13" t="n">
        <v>100</v>
      </c>
      <c r="D13" t="n">
        <v>300</v>
      </c>
      <c r="E13" t="n">
        <v>700</v>
      </c>
      <c r="F13" t="n">
        <v>0</v>
      </c>
      <c r="G13" t="n">
        <v>100</v>
      </c>
      <c r="H13" t="n">
        <v>100</v>
      </c>
      <c r="I13" t="n">
        <v>900</v>
      </c>
      <c r="J13" t="n">
        <v>0</v>
      </c>
      <c r="K13" t="n">
        <v>225</v>
      </c>
      <c r="L13" t="n">
        <v>0</v>
      </c>
      <c r="M13" t="n">
        <v>225</v>
      </c>
      <c r="N13" t="n">
        <v>1412.5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100</v>
      </c>
      <c r="C14" t="n">
        <v>100</v>
      </c>
      <c r="D14" t="n">
        <v>400</v>
      </c>
      <c r="E14" t="n">
        <v>900</v>
      </c>
      <c r="F14" t="n">
        <v>0</v>
      </c>
      <c r="G14" t="n">
        <v>100</v>
      </c>
      <c r="H14" t="n">
        <v>100</v>
      </c>
      <c r="I14" t="n">
        <v>1200</v>
      </c>
      <c r="J14" t="n">
        <v>0</v>
      </c>
      <c r="K14" t="n">
        <v>300</v>
      </c>
      <c r="L14" t="n">
        <v>0</v>
      </c>
      <c r="M14" t="n">
        <v>300</v>
      </c>
      <c r="N14" t="n">
        <v>1712.5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100</v>
      </c>
      <c r="C15" t="n">
        <v>100</v>
      </c>
      <c r="D15" t="n">
        <v>400</v>
      </c>
      <c r="E15" t="n">
        <v>1200</v>
      </c>
      <c r="F15" t="n">
        <v>0</v>
      </c>
      <c r="G15" t="n">
        <v>100</v>
      </c>
      <c r="H15" t="n">
        <v>100</v>
      </c>
      <c r="I15" t="n">
        <v>1500</v>
      </c>
      <c r="J15" t="n">
        <v>0</v>
      </c>
      <c r="K15" t="n">
        <v>375</v>
      </c>
      <c r="L15" t="n">
        <v>0</v>
      </c>
      <c r="M15" t="n">
        <v>375</v>
      </c>
      <c r="N15" t="n">
        <v>2087.5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100</v>
      </c>
      <c r="C16" t="n">
        <v>100</v>
      </c>
      <c r="D16" t="n">
        <v>400</v>
      </c>
      <c r="E16" t="n">
        <v>1500</v>
      </c>
      <c r="F16" t="n">
        <v>0</v>
      </c>
      <c r="G16" t="n">
        <v>100</v>
      </c>
      <c r="H16" t="n">
        <v>100</v>
      </c>
      <c r="I16" t="n">
        <v>1800</v>
      </c>
      <c r="J16" t="n">
        <v>0</v>
      </c>
      <c r="K16" t="n">
        <v>450</v>
      </c>
      <c r="L16" t="n">
        <v>0</v>
      </c>
      <c r="M16" t="n">
        <v>450</v>
      </c>
      <c r="N16" t="n">
        <v>2537.5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100</v>
      </c>
      <c r="C17" t="n">
        <v>100</v>
      </c>
      <c r="D17" t="n">
        <v>100</v>
      </c>
      <c r="E17" t="n">
        <v>1800</v>
      </c>
      <c r="F17" t="n">
        <v>0</v>
      </c>
      <c r="G17" t="n">
        <v>100</v>
      </c>
      <c r="H17" t="n">
        <v>100</v>
      </c>
      <c r="I17" t="n">
        <v>1800</v>
      </c>
      <c r="J17" t="n">
        <v>0</v>
      </c>
      <c r="K17" t="n">
        <v>450</v>
      </c>
      <c r="L17" t="n">
        <v>0</v>
      </c>
      <c r="M17" t="n">
        <v>450</v>
      </c>
      <c r="N17" t="n">
        <v>2987.5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100</v>
      </c>
      <c r="C18" t="n">
        <v>100</v>
      </c>
      <c r="D18" t="n">
        <v>0</v>
      </c>
      <c r="E18" t="n">
        <v>1800</v>
      </c>
      <c r="F18" t="n">
        <v>0</v>
      </c>
      <c r="G18" t="n">
        <v>100</v>
      </c>
      <c r="H18" t="n">
        <v>100</v>
      </c>
      <c r="I18" t="n">
        <v>1700</v>
      </c>
      <c r="J18" t="n">
        <v>0</v>
      </c>
      <c r="K18" t="n">
        <v>425</v>
      </c>
      <c r="L18" t="n">
        <v>0</v>
      </c>
      <c r="M18" t="n">
        <v>425</v>
      </c>
      <c r="N18" t="n">
        <v>3412.5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100</v>
      </c>
      <c r="C19" t="n">
        <v>100</v>
      </c>
      <c r="D19" t="n">
        <v>0</v>
      </c>
      <c r="E19" t="n">
        <v>1700</v>
      </c>
      <c r="F19" t="n">
        <v>0</v>
      </c>
      <c r="G19" t="n">
        <v>100</v>
      </c>
      <c r="H19" t="n">
        <v>100</v>
      </c>
      <c r="I19" t="n">
        <v>1600</v>
      </c>
      <c r="J19" t="n">
        <v>0</v>
      </c>
      <c r="K19" t="n">
        <v>400</v>
      </c>
      <c r="L19" t="n">
        <v>0</v>
      </c>
      <c r="M19" t="n">
        <v>400</v>
      </c>
      <c r="N19" t="n">
        <v>3812.5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100</v>
      </c>
      <c r="C20" t="n">
        <v>100</v>
      </c>
      <c r="D20" t="n">
        <v>0</v>
      </c>
      <c r="E20" t="n">
        <v>1600</v>
      </c>
      <c r="F20" t="n">
        <v>0</v>
      </c>
      <c r="G20" t="n">
        <v>100</v>
      </c>
      <c r="H20" t="n">
        <v>100</v>
      </c>
      <c r="I20" t="n">
        <v>1500</v>
      </c>
      <c r="J20" t="n">
        <v>0</v>
      </c>
      <c r="K20" t="n">
        <v>375</v>
      </c>
      <c r="L20" t="n">
        <v>0</v>
      </c>
      <c r="M20" t="n">
        <v>375</v>
      </c>
      <c r="N20" t="n">
        <v>4187.5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100</v>
      </c>
      <c r="C21" t="n">
        <v>100</v>
      </c>
      <c r="D21" t="n">
        <v>0</v>
      </c>
      <c r="E21" t="n">
        <v>1500</v>
      </c>
      <c r="F21" t="n">
        <v>0</v>
      </c>
      <c r="G21" t="n">
        <v>100</v>
      </c>
      <c r="H21" t="n">
        <v>100</v>
      </c>
      <c r="I21" t="n">
        <v>1400</v>
      </c>
      <c r="J21" t="n">
        <v>0</v>
      </c>
      <c r="K21" t="n">
        <v>350</v>
      </c>
      <c r="L21" t="n">
        <v>0</v>
      </c>
      <c r="M21" t="n">
        <v>350</v>
      </c>
      <c r="N21" t="n">
        <v>4537.5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100</v>
      </c>
      <c r="C22" t="n">
        <v>100</v>
      </c>
      <c r="D22" t="n">
        <v>0</v>
      </c>
      <c r="E22" t="n">
        <v>1400</v>
      </c>
      <c r="F22" t="n">
        <v>0</v>
      </c>
      <c r="G22" t="n">
        <v>100</v>
      </c>
      <c r="H22" t="n">
        <v>100</v>
      </c>
      <c r="I22" t="n">
        <v>1300</v>
      </c>
      <c r="J22" t="n">
        <v>0</v>
      </c>
      <c r="K22" t="n">
        <v>325</v>
      </c>
      <c r="L22" t="n">
        <v>0</v>
      </c>
      <c r="M22" t="n">
        <v>325</v>
      </c>
      <c r="N22" t="n">
        <v>4862.5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100</v>
      </c>
      <c r="C23" t="n">
        <v>100</v>
      </c>
      <c r="D23" t="n">
        <v>0</v>
      </c>
      <c r="E23" t="n">
        <v>1300</v>
      </c>
      <c r="F23" t="n">
        <v>0</v>
      </c>
      <c r="G23" t="n">
        <v>100</v>
      </c>
      <c r="H23" t="n">
        <v>100</v>
      </c>
      <c r="I23" t="n">
        <v>1200</v>
      </c>
      <c r="J23" t="n">
        <v>0</v>
      </c>
      <c r="K23" t="n">
        <v>300</v>
      </c>
      <c r="L23" t="n">
        <v>0</v>
      </c>
      <c r="M23" t="n">
        <v>300</v>
      </c>
      <c r="N23" t="n">
        <v>5162.5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100</v>
      </c>
      <c r="C24" t="n">
        <v>100</v>
      </c>
      <c r="D24" t="n">
        <v>0</v>
      </c>
      <c r="E24" t="n">
        <v>1200</v>
      </c>
      <c r="F24" t="n">
        <v>0</v>
      </c>
      <c r="G24" t="n">
        <v>100</v>
      </c>
      <c r="H24" t="n">
        <v>100</v>
      </c>
      <c r="I24" t="n">
        <v>1100</v>
      </c>
      <c r="J24" t="n">
        <v>0</v>
      </c>
      <c r="K24" t="n">
        <v>275</v>
      </c>
      <c r="L24" t="n">
        <v>0</v>
      </c>
      <c r="M24" t="n">
        <v>275</v>
      </c>
      <c r="N24" t="n">
        <v>5437.5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100</v>
      </c>
      <c r="C25" t="n">
        <v>100</v>
      </c>
      <c r="D25" t="n">
        <v>0</v>
      </c>
      <c r="E25" t="n">
        <v>1100</v>
      </c>
      <c r="F25" t="n">
        <v>0</v>
      </c>
      <c r="G25" t="n">
        <v>100</v>
      </c>
      <c r="H25" t="n">
        <v>100</v>
      </c>
      <c r="I25" t="n">
        <v>1000</v>
      </c>
      <c r="J25" t="n">
        <v>0</v>
      </c>
      <c r="K25" t="n">
        <v>250</v>
      </c>
      <c r="L25" t="n">
        <v>0</v>
      </c>
      <c r="M25" t="n">
        <v>250</v>
      </c>
      <c r="N25" t="n">
        <v>5687.5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100</v>
      </c>
      <c r="C26" t="n">
        <v>100</v>
      </c>
      <c r="D26" t="n">
        <v>0</v>
      </c>
      <c r="E26" t="n">
        <v>1000</v>
      </c>
      <c r="F26" t="n">
        <v>0</v>
      </c>
      <c r="G26" t="n">
        <v>100</v>
      </c>
      <c r="H26" t="n">
        <v>100</v>
      </c>
      <c r="I26" t="n">
        <v>900</v>
      </c>
      <c r="J26" t="n">
        <v>0</v>
      </c>
      <c r="K26" t="n">
        <v>225</v>
      </c>
      <c r="L26" t="n">
        <v>0</v>
      </c>
      <c r="M26" t="n">
        <v>225</v>
      </c>
      <c r="N26" t="n">
        <v>5912.5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100</v>
      </c>
      <c r="C27" t="n">
        <v>100</v>
      </c>
      <c r="D27" t="n">
        <v>0</v>
      </c>
      <c r="E27" t="n">
        <v>900</v>
      </c>
      <c r="F27" t="n">
        <v>0</v>
      </c>
      <c r="G27" t="n">
        <v>100</v>
      </c>
      <c r="H27" t="n">
        <v>100</v>
      </c>
      <c r="I27" t="n">
        <v>800</v>
      </c>
      <c r="J27" t="n">
        <v>0</v>
      </c>
      <c r="K27" t="n">
        <v>200</v>
      </c>
      <c r="L27" t="n">
        <v>0</v>
      </c>
      <c r="M27" t="n">
        <v>200</v>
      </c>
      <c r="N27" t="n">
        <v>6112.5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100</v>
      </c>
      <c r="C28" t="n">
        <v>100</v>
      </c>
      <c r="D28" t="n">
        <v>0</v>
      </c>
      <c r="E28" t="n">
        <v>800</v>
      </c>
      <c r="F28" t="n">
        <v>0</v>
      </c>
      <c r="G28" t="n">
        <v>100</v>
      </c>
      <c r="H28" t="n">
        <v>100</v>
      </c>
      <c r="I28" t="n">
        <v>700</v>
      </c>
      <c r="J28" t="n">
        <v>0</v>
      </c>
      <c r="K28" t="n">
        <v>175</v>
      </c>
      <c r="L28" t="n">
        <v>0</v>
      </c>
      <c r="M28" t="n">
        <v>175</v>
      </c>
      <c r="N28" t="n">
        <v>6287.5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100</v>
      </c>
      <c r="C29" t="n">
        <v>100</v>
      </c>
      <c r="D29" t="n">
        <v>0</v>
      </c>
      <c r="E29" t="n">
        <v>700</v>
      </c>
      <c r="F29" t="n">
        <v>0</v>
      </c>
      <c r="G29" t="n">
        <v>100</v>
      </c>
      <c r="H29" t="n">
        <v>100</v>
      </c>
      <c r="I29" t="n">
        <v>600</v>
      </c>
      <c r="J29" t="n">
        <v>0</v>
      </c>
      <c r="K29" t="n">
        <v>150</v>
      </c>
      <c r="L29" t="n">
        <v>0</v>
      </c>
      <c r="M29" t="n">
        <v>150</v>
      </c>
      <c r="N29" t="n">
        <v>6437.5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100</v>
      </c>
      <c r="C30" t="n">
        <v>100</v>
      </c>
      <c r="D30" t="n">
        <v>0</v>
      </c>
      <c r="E30" t="n">
        <v>600</v>
      </c>
      <c r="F30" t="n">
        <v>0</v>
      </c>
      <c r="G30" t="n">
        <v>100</v>
      </c>
      <c r="H30" t="n">
        <v>100</v>
      </c>
      <c r="I30" t="n">
        <v>500</v>
      </c>
      <c r="J30" t="n">
        <v>0</v>
      </c>
      <c r="K30" t="n">
        <v>125</v>
      </c>
      <c r="L30" t="n">
        <v>0</v>
      </c>
      <c r="M30" t="n">
        <v>125</v>
      </c>
      <c r="N30" t="n">
        <v>6562.5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100</v>
      </c>
      <c r="C31" t="n">
        <v>100</v>
      </c>
      <c r="D31" t="n">
        <v>0</v>
      </c>
      <c r="E31" t="n">
        <v>500</v>
      </c>
      <c r="F31" t="n">
        <v>0</v>
      </c>
      <c r="G31" t="n">
        <v>100</v>
      </c>
      <c r="H31" t="n">
        <v>100</v>
      </c>
      <c r="I31" t="n">
        <v>400</v>
      </c>
      <c r="J31" t="n">
        <v>0</v>
      </c>
      <c r="K31" t="n">
        <v>100</v>
      </c>
      <c r="L31" t="n">
        <v>0</v>
      </c>
      <c r="M31" t="n">
        <v>100</v>
      </c>
      <c r="N31" t="n">
        <v>6662.5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100</v>
      </c>
      <c r="C32" t="n">
        <v>100</v>
      </c>
      <c r="D32" t="n">
        <v>0</v>
      </c>
      <c r="E32" t="n">
        <v>400</v>
      </c>
      <c r="F32" t="n">
        <v>0</v>
      </c>
      <c r="G32" t="n">
        <v>100</v>
      </c>
      <c r="H32" t="n">
        <v>100</v>
      </c>
      <c r="I32" t="n">
        <v>300</v>
      </c>
      <c r="J32" t="n">
        <v>0</v>
      </c>
      <c r="K32" t="n">
        <v>75</v>
      </c>
      <c r="L32" t="n">
        <v>0</v>
      </c>
      <c r="M32" t="n">
        <v>75</v>
      </c>
      <c r="N32" t="n">
        <v>6737.5</v>
      </c>
      <c r="P32" t="n">
        <v>100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100</v>
      </c>
      <c r="C33" t="n">
        <v>100</v>
      </c>
      <c r="D33" t="n">
        <v>0</v>
      </c>
      <c r="E33" t="n">
        <v>300</v>
      </c>
      <c r="F33" t="n">
        <v>0</v>
      </c>
      <c r="G33" t="n">
        <v>100</v>
      </c>
      <c r="H33" t="n">
        <v>100</v>
      </c>
      <c r="I33" t="n">
        <v>200</v>
      </c>
      <c r="J33" t="n">
        <v>0</v>
      </c>
      <c r="K33" t="n">
        <v>50</v>
      </c>
      <c r="L33" t="n">
        <v>0</v>
      </c>
      <c r="M33" t="n">
        <v>50</v>
      </c>
      <c r="N33" t="n">
        <v>6787.5</v>
      </c>
      <c r="P33" t="n">
        <v>200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100</v>
      </c>
      <c r="C34" t="n">
        <v>100</v>
      </c>
      <c r="D34" t="n">
        <v>0</v>
      </c>
      <c r="E34" t="n">
        <v>200</v>
      </c>
      <c r="F34" t="n">
        <v>0</v>
      </c>
      <c r="G34" t="n">
        <v>100</v>
      </c>
      <c r="H34" t="n">
        <v>100</v>
      </c>
      <c r="I34" t="n">
        <v>100</v>
      </c>
      <c r="J34" t="n">
        <v>0</v>
      </c>
      <c r="K34" t="n">
        <v>25</v>
      </c>
      <c r="L34" t="n">
        <v>0</v>
      </c>
      <c r="M34" t="n">
        <v>25</v>
      </c>
      <c r="N34" t="n">
        <v>6812.5</v>
      </c>
      <c r="P34" t="n">
        <v>300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100</v>
      </c>
      <c r="C35" t="n">
        <v>100</v>
      </c>
      <c r="D35" t="n">
        <v>0</v>
      </c>
      <c r="E35" t="n">
        <v>100</v>
      </c>
      <c r="F35" t="n">
        <v>0</v>
      </c>
      <c r="G35" t="n">
        <v>100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6812.5</v>
      </c>
      <c r="P35" t="n">
        <v>300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100</v>
      </c>
      <c r="C36" t="n">
        <v>100</v>
      </c>
      <c r="D36" t="n">
        <v>100</v>
      </c>
      <c r="E36" t="n">
        <v>0</v>
      </c>
      <c r="F36" t="n">
        <v>0</v>
      </c>
      <c r="G36" t="n">
        <v>100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6812.5</v>
      </c>
      <c r="P36" t="n">
        <v>200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200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300</v>
      </c>
      <c r="C4" t="n">
        <v>300</v>
      </c>
      <c r="D4" t="n">
        <v>0</v>
      </c>
      <c r="E4" t="n">
        <v>200</v>
      </c>
      <c r="F4" t="n">
        <v>0</v>
      </c>
      <c r="G4" t="n">
        <v>300</v>
      </c>
      <c r="H4" t="n">
        <v>200</v>
      </c>
      <c r="I4" t="n">
        <v>0</v>
      </c>
      <c r="J4" t="n">
        <v>100</v>
      </c>
      <c r="K4" t="n">
        <v>0</v>
      </c>
      <c r="L4" t="n">
        <v>100</v>
      </c>
      <c r="M4" t="n">
        <v>100</v>
      </c>
      <c r="N4" t="n">
        <v>187.5</v>
      </c>
      <c r="P4" t="n">
        <v>500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400</v>
      </c>
      <c r="C5" t="n">
        <v>400</v>
      </c>
      <c r="D5" t="n">
        <v>0</v>
      </c>
      <c r="E5" t="n">
        <v>0</v>
      </c>
      <c r="F5" t="n">
        <v>100</v>
      </c>
      <c r="G5" t="n">
        <v>500</v>
      </c>
      <c r="H5" t="n">
        <v>0</v>
      </c>
      <c r="I5" t="n">
        <v>0</v>
      </c>
      <c r="J5" t="n">
        <v>500</v>
      </c>
      <c r="K5" t="n">
        <v>0</v>
      </c>
      <c r="L5" t="n">
        <v>500</v>
      </c>
      <c r="M5" t="n">
        <v>500</v>
      </c>
      <c r="N5" t="n">
        <v>687.5</v>
      </c>
      <c r="P5" t="n">
        <v>700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500</v>
      </c>
      <c r="C6" t="n">
        <v>500</v>
      </c>
      <c r="D6" t="n">
        <v>200</v>
      </c>
      <c r="E6" t="n">
        <v>0</v>
      </c>
      <c r="F6" t="n">
        <v>500</v>
      </c>
      <c r="G6" t="n">
        <v>1000</v>
      </c>
      <c r="H6" t="n">
        <v>200</v>
      </c>
      <c r="I6" t="n">
        <v>0</v>
      </c>
      <c r="J6" t="n">
        <v>800</v>
      </c>
      <c r="K6" t="n">
        <v>0</v>
      </c>
      <c r="L6" t="n">
        <v>800</v>
      </c>
      <c r="M6" t="n">
        <v>800</v>
      </c>
      <c r="N6" t="n">
        <v>1487.5</v>
      </c>
      <c r="P6" t="n">
        <v>1200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400</v>
      </c>
      <c r="C7" t="n">
        <v>400</v>
      </c>
      <c r="D7" t="n">
        <v>0</v>
      </c>
      <c r="E7" t="n">
        <v>0</v>
      </c>
      <c r="F7" t="n">
        <v>800</v>
      </c>
      <c r="G7" t="n">
        <v>1200</v>
      </c>
      <c r="H7" t="n">
        <v>0</v>
      </c>
      <c r="I7" t="n">
        <v>0</v>
      </c>
      <c r="J7" t="n">
        <v>1200</v>
      </c>
      <c r="K7" t="n">
        <v>0</v>
      </c>
      <c r="L7" t="n">
        <v>1200</v>
      </c>
      <c r="M7" t="n">
        <v>1200</v>
      </c>
      <c r="N7" t="n">
        <v>2687.5</v>
      </c>
      <c r="P7" t="n">
        <v>1200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500</v>
      </c>
      <c r="C8" t="n">
        <v>500</v>
      </c>
      <c r="D8" t="n">
        <v>400</v>
      </c>
      <c r="E8" t="n">
        <v>0</v>
      </c>
      <c r="F8" t="n">
        <v>1200</v>
      </c>
      <c r="G8" t="n">
        <v>1700</v>
      </c>
      <c r="H8" t="n">
        <v>400</v>
      </c>
      <c r="I8" t="n">
        <v>0</v>
      </c>
      <c r="J8" t="n">
        <v>1300</v>
      </c>
      <c r="K8" t="n">
        <v>0</v>
      </c>
      <c r="L8" t="n">
        <v>1300</v>
      </c>
      <c r="M8" t="n">
        <v>1300</v>
      </c>
      <c r="N8" t="n">
        <v>3987.5</v>
      </c>
      <c r="P8" t="n">
        <v>1400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400</v>
      </c>
      <c r="C9" t="n">
        <v>400</v>
      </c>
      <c r="D9" t="n">
        <v>300</v>
      </c>
      <c r="E9" t="n">
        <v>0</v>
      </c>
      <c r="F9" t="n">
        <v>1300</v>
      </c>
      <c r="G9" t="n">
        <v>1700</v>
      </c>
      <c r="H9" t="n">
        <v>300</v>
      </c>
      <c r="I9" t="n">
        <v>0</v>
      </c>
      <c r="J9" t="n">
        <v>1400</v>
      </c>
      <c r="K9" t="n">
        <v>0</v>
      </c>
      <c r="L9" t="n">
        <v>1400</v>
      </c>
      <c r="M9" t="n">
        <v>1400</v>
      </c>
      <c r="N9" t="n">
        <v>5387.5</v>
      </c>
      <c r="P9" t="n">
        <v>1300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500</v>
      </c>
      <c r="C10" t="n">
        <v>500</v>
      </c>
      <c r="D10" t="n">
        <v>500</v>
      </c>
      <c r="E10" t="n">
        <v>0</v>
      </c>
      <c r="F10" t="n">
        <v>1400</v>
      </c>
      <c r="G10" t="n">
        <v>1900</v>
      </c>
      <c r="H10" t="n">
        <v>500</v>
      </c>
      <c r="I10" t="n">
        <v>0</v>
      </c>
      <c r="J10" t="n">
        <v>1400</v>
      </c>
      <c r="K10" t="n">
        <v>0</v>
      </c>
      <c r="L10" t="n">
        <v>1400</v>
      </c>
      <c r="M10" t="n">
        <v>1400</v>
      </c>
      <c r="N10" t="n">
        <v>6787.5</v>
      </c>
      <c r="P10" t="n">
        <v>1500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200</v>
      </c>
      <c r="C11" t="n">
        <v>200</v>
      </c>
      <c r="D11" t="n">
        <v>300</v>
      </c>
      <c r="E11" t="n">
        <v>0</v>
      </c>
      <c r="F11" t="n">
        <v>1400</v>
      </c>
      <c r="G11" t="n">
        <v>1600</v>
      </c>
      <c r="H11" t="n">
        <v>300</v>
      </c>
      <c r="I11" t="n">
        <v>0</v>
      </c>
      <c r="J11" t="n">
        <v>1300</v>
      </c>
      <c r="K11" t="n">
        <v>0</v>
      </c>
      <c r="L11" t="n">
        <v>1300</v>
      </c>
      <c r="M11" t="n">
        <v>1300</v>
      </c>
      <c r="N11" t="n">
        <v>8087.5</v>
      </c>
      <c r="P11" t="n">
        <v>1300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0</v>
      </c>
      <c r="C12" t="n">
        <v>0</v>
      </c>
      <c r="D12" t="n">
        <v>400</v>
      </c>
      <c r="E12" t="n">
        <v>0</v>
      </c>
      <c r="F12" t="n">
        <v>1300</v>
      </c>
      <c r="G12" t="n">
        <v>1300</v>
      </c>
      <c r="H12" t="n">
        <v>400</v>
      </c>
      <c r="I12" t="n">
        <v>0</v>
      </c>
      <c r="J12" t="n">
        <v>900</v>
      </c>
      <c r="K12" t="n">
        <v>0</v>
      </c>
      <c r="L12" t="n">
        <v>900</v>
      </c>
      <c r="M12" t="n">
        <v>900</v>
      </c>
      <c r="N12" t="n">
        <v>8987.5</v>
      </c>
      <c r="P12" t="n">
        <v>900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</v>
      </c>
      <c r="C13" t="n">
        <v>0</v>
      </c>
      <c r="D13" t="n">
        <v>400</v>
      </c>
      <c r="E13" t="n">
        <v>0</v>
      </c>
      <c r="F13" t="n">
        <v>900</v>
      </c>
      <c r="G13" t="n">
        <v>900</v>
      </c>
      <c r="H13" t="n">
        <v>400</v>
      </c>
      <c r="I13" t="n">
        <v>0</v>
      </c>
      <c r="J13" t="n">
        <v>500</v>
      </c>
      <c r="K13" t="n">
        <v>0</v>
      </c>
      <c r="L13" t="n">
        <v>500</v>
      </c>
      <c r="M13" t="n">
        <v>500</v>
      </c>
      <c r="N13" t="n">
        <v>9487.5</v>
      </c>
      <c r="P13" t="n">
        <v>500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</v>
      </c>
      <c r="C14" t="n">
        <v>0</v>
      </c>
      <c r="D14" t="n">
        <v>400</v>
      </c>
      <c r="E14" t="n">
        <v>0</v>
      </c>
      <c r="F14" t="n">
        <v>500</v>
      </c>
      <c r="G14" t="n">
        <v>500</v>
      </c>
      <c r="H14" t="n">
        <v>400</v>
      </c>
      <c r="I14" t="n">
        <v>0</v>
      </c>
      <c r="J14" t="n">
        <v>100</v>
      </c>
      <c r="K14" t="n">
        <v>0</v>
      </c>
      <c r="L14" t="n">
        <v>100</v>
      </c>
      <c r="M14" t="n">
        <v>100</v>
      </c>
      <c r="N14" t="n">
        <v>9587.5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600</v>
      </c>
      <c r="E15" t="n">
        <v>0</v>
      </c>
      <c r="F15" t="n">
        <v>100</v>
      </c>
      <c r="G15" t="n">
        <v>100</v>
      </c>
      <c r="H15" t="n">
        <v>100</v>
      </c>
      <c r="I15" t="n">
        <v>500</v>
      </c>
      <c r="J15" t="n">
        <v>0</v>
      </c>
      <c r="K15" t="n">
        <v>125</v>
      </c>
      <c r="L15" t="n">
        <v>0</v>
      </c>
      <c r="M15" t="n">
        <v>125</v>
      </c>
      <c r="N15" t="n">
        <v>9712.5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1500</v>
      </c>
      <c r="E16" t="n">
        <v>500</v>
      </c>
      <c r="F16" t="n">
        <v>0</v>
      </c>
      <c r="G16" t="n">
        <v>0</v>
      </c>
      <c r="H16" t="n">
        <v>0</v>
      </c>
      <c r="I16" t="n">
        <v>2000</v>
      </c>
      <c r="J16" t="n">
        <v>0</v>
      </c>
      <c r="K16" t="n">
        <v>500</v>
      </c>
      <c r="L16" t="n">
        <v>0</v>
      </c>
      <c r="M16" t="n">
        <v>500</v>
      </c>
      <c r="N16" t="n">
        <v>10212.5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2300</v>
      </c>
      <c r="E17" t="n">
        <v>2000</v>
      </c>
      <c r="F17" t="n">
        <v>0</v>
      </c>
      <c r="G17" t="n">
        <v>0</v>
      </c>
      <c r="H17" t="n">
        <v>0</v>
      </c>
      <c r="I17" t="n">
        <v>4300</v>
      </c>
      <c r="J17" t="n">
        <v>0</v>
      </c>
      <c r="K17" t="n">
        <v>1075</v>
      </c>
      <c r="L17" t="n">
        <v>0</v>
      </c>
      <c r="M17" t="n">
        <v>1075</v>
      </c>
      <c r="N17" t="n">
        <v>11287.5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3300</v>
      </c>
      <c r="E18" t="n">
        <v>4300</v>
      </c>
      <c r="F18" t="n">
        <v>0</v>
      </c>
      <c r="G18" t="n">
        <v>0</v>
      </c>
      <c r="H18" t="n">
        <v>0</v>
      </c>
      <c r="I18" t="n">
        <v>7600</v>
      </c>
      <c r="J18" t="n">
        <v>0</v>
      </c>
      <c r="K18" t="n">
        <v>1900</v>
      </c>
      <c r="L18" t="n">
        <v>0</v>
      </c>
      <c r="M18" t="n">
        <v>1900</v>
      </c>
      <c r="N18" t="n">
        <v>13187.5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300</v>
      </c>
      <c r="E19" t="n">
        <v>7600</v>
      </c>
      <c r="F19" t="n">
        <v>0</v>
      </c>
      <c r="G19" t="n">
        <v>0</v>
      </c>
      <c r="H19" t="n">
        <v>0</v>
      </c>
      <c r="I19" t="n">
        <v>7900</v>
      </c>
      <c r="J19" t="n">
        <v>0</v>
      </c>
      <c r="K19" t="n">
        <v>1975</v>
      </c>
      <c r="L19" t="n">
        <v>0</v>
      </c>
      <c r="M19" t="n">
        <v>1975</v>
      </c>
      <c r="N19" t="n">
        <v>15162.5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7900</v>
      </c>
      <c r="F20" t="n">
        <v>0</v>
      </c>
      <c r="G20" t="n">
        <v>0</v>
      </c>
      <c r="H20" t="n">
        <v>0</v>
      </c>
      <c r="I20" t="n">
        <v>7900</v>
      </c>
      <c r="J20" t="n">
        <v>0</v>
      </c>
      <c r="K20" t="n">
        <v>1975</v>
      </c>
      <c r="L20" t="n">
        <v>0</v>
      </c>
      <c r="M20" t="n">
        <v>1975</v>
      </c>
      <c r="N20" t="n">
        <v>17137.5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7900</v>
      </c>
      <c r="F21" t="n">
        <v>0</v>
      </c>
      <c r="G21" t="n">
        <v>0</v>
      </c>
      <c r="H21" t="n">
        <v>0</v>
      </c>
      <c r="I21" t="n">
        <v>7900</v>
      </c>
      <c r="J21" t="n">
        <v>0</v>
      </c>
      <c r="K21" t="n">
        <v>1975</v>
      </c>
      <c r="L21" t="n">
        <v>0</v>
      </c>
      <c r="M21" t="n">
        <v>1975</v>
      </c>
      <c r="N21" t="n">
        <v>19112.5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7900</v>
      </c>
      <c r="F22" t="n">
        <v>0</v>
      </c>
      <c r="G22" t="n">
        <v>0</v>
      </c>
      <c r="H22" t="n">
        <v>0</v>
      </c>
      <c r="I22" t="n">
        <v>7900</v>
      </c>
      <c r="J22" t="n">
        <v>0</v>
      </c>
      <c r="K22" t="n">
        <v>1975</v>
      </c>
      <c r="L22" t="n">
        <v>0</v>
      </c>
      <c r="M22" t="n">
        <v>1975</v>
      </c>
      <c r="N22" t="n">
        <v>21087.5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7900</v>
      </c>
      <c r="F23" t="n">
        <v>0</v>
      </c>
      <c r="G23" t="n">
        <v>0</v>
      </c>
      <c r="H23" t="n">
        <v>0</v>
      </c>
      <c r="I23" t="n">
        <v>7900</v>
      </c>
      <c r="J23" t="n">
        <v>0</v>
      </c>
      <c r="K23" t="n">
        <v>1975</v>
      </c>
      <c r="L23" t="n">
        <v>0</v>
      </c>
      <c r="M23" t="n">
        <v>1975</v>
      </c>
      <c r="N23" t="n">
        <v>23062.5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7900</v>
      </c>
      <c r="F24" t="n">
        <v>0</v>
      </c>
      <c r="G24" t="n">
        <v>0</v>
      </c>
      <c r="H24" t="n">
        <v>0</v>
      </c>
      <c r="I24" t="n">
        <v>7900</v>
      </c>
      <c r="J24" t="n">
        <v>0</v>
      </c>
      <c r="K24" t="n">
        <v>1975</v>
      </c>
      <c r="L24" t="n">
        <v>0</v>
      </c>
      <c r="M24" t="n">
        <v>1975</v>
      </c>
      <c r="N24" t="n">
        <v>25037.5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7900</v>
      </c>
      <c r="F25" t="n">
        <v>0</v>
      </c>
      <c r="G25" t="n">
        <v>0</v>
      </c>
      <c r="H25" t="n">
        <v>0</v>
      </c>
      <c r="I25" t="n">
        <v>7900</v>
      </c>
      <c r="J25" t="n">
        <v>0</v>
      </c>
      <c r="K25" t="n">
        <v>1975</v>
      </c>
      <c r="L25" t="n">
        <v>0</v>
      </c>
      <c r="M25" t="n">
        <v>1975</v>
      </c>
      <c r="N25" t="n">
        <v>27012.5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7900</v>
      </c>
      <c r="F26" t="n">
        <v>0</v>
      </c>
      <c r="G26" t="n">
        <v>0</v>
      </c>
      <c r="H26" t="n">
        <v>0</v>
      </c>
      <c r="I26" t="n">
        <v>7900</v>
      </c>
      <c r="J26" t="n">
        <v>0</v>
      </c>
      <c r="K26" t="n">
        <v>1975</v>
      </c>
      <c r="L26" t="n">
        <v>0</v>
      </c>
      <c r="M26" t="n">
        <v>1975</v>
      </c>
      <c r="N26" t="n">
        <v>28987.5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7900</v>
      </c>
      <c r="F27" t="n">
        <v>0</v>
      </c>
      <c r="G27" t="n">
        <v>0</v>
      </c>
      <c r="H27" t="n">
        <v>0</v>
      </c>
      <c r="I27" t="n">
        <v>7900</v>
      </c>
      <c r="J27" t="n">
        <v>0</v>
      </c>
      <c r="K27" t="n">
        <v>1975</v>
      </c>
      <c r="L27" t="n">
        <v>0</v>
      </c>
      <c r="M27" t="n">
        <v>1975</v>
      </c>
      <c r="N27" t="n">
        <v>30962.5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7900</v>
      </c>
      <c r="F28" t="n">
        <v>0</v>
      </c>
      <c r="G28" t="n">
        <v>0</v>
      </c>
      <c r="H28" t="n">
        <v>0</v>
      </c>
      <c r="I28" t="n">
        <v>7900</v>
      </c>
      <c r="J28" t="n">
        <v>0</v>
      </c>
      <c r="K28" t="n">
        <v>1975</v>
      </c>
      <c r="L28" t="n">
        <v>0</v>
      </c>
      <c r="M28" t="n">
        <v>1975</v>
      </c>
      <c r="N28" t="n">
        <v>32937.5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7900</v>
      </c>
      <c r="F29" t="n">
        <v>0</v>
      </c>
      <c r="G29" t="n">
        <v>0</v>
      </c>
      <c r="H29" t="n">
        <v>0</v>
      </c>
      <c r="I29" t="n">
        <v>7900</v>
      </c>
      <c r="J29" t="n">
        <v>0</v>
      </c>
      <c r="K29" t="n">
        <v>1975</v>
      </c>
      <c r="L29" t="n">
        <v>0</v>
      </c>
      <c r="M29" t="n">
        <v>1975</v>
      </c>
      <c r="N29" t="n">
        <v>34912.5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7900</v>
      </c>
      <c r="F30" t="n">
        <v>0</v>
      </c>
      <c r="G30" t="n">
        <v>0</v>
      </c>
      <c r="H30" t="n">
        <v>0</v>
      </c>
      <c r="I30" t="n">
        <v>7900</v>
      </c>
      <c r="J30" t="n">
        <v>0</v>
      </c>
      <c r="K30" t="n">
        <v>1975</v>
      </c>
      <c r="L30" t="n">
        <v>0</v>
      </c>
      <c r="M30" t="n">
        <v>1975</v>
      </c>
      <c r="N30" t="n">
        <v>36887.5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7900</v>
      </c>
      <c r="F31" t="n">
        <v>0</v>
      </c>
      <c r="G31" t="n">
        <v>0</v>
      </c>
      <c r="H31" t="n">
        <v>0</v>
      </c>
      <c r="I31" t="n">
        <v>7900</v>
      </c>
      <c r="J31" t="n">
        <v>0</v>
      </c>
      <c r="K31" t="n">
        <v>1975</v>
      </c>
      <c r="L31" t="n">
        <v>0</v>
      </c>
      <c r="M31" t="n">
        <v>1975</v>
      </c>
      <c r="N31" t="n">
        <v>38862.5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7900</v>
      </c>
      <c r="F32" t="n">
        <v>0</v>
      </c>
      <c r="G32" t="n">
        <v>0</v>
      </c>
      <c r="H32" t="n">
        <v>0</v>
      </c>
      <c r="I32" t="n">
        <v>7900</v>
      </c>
      <c r="J32" t="n">
        <v>0</v>
      </c>
      <c r="K32" t="n">
        <v>1975</v>
      </c>
      <c r="L32" t="n">
        <v>0</v>
      </c>
      <c r="M32" t="n">
        <v>1975</v>
      </c>
      <c r="N32" t="n">
        <v>40837.5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7900</v>
      </c>
      <c r="F33" t="n">
        <v>0</v>
      </c>
      <c r="G33" t="n">
        <v>0</v>
      </c>
      <c r="H33" t="n">
        <v>0</v>
      </c>
      <c r="I33" t="n">
        <v>7900</v>
      </c>
      <c r="J33" t="n">
        <v>0</v>
      </c>
      <c r="K33" t="n">
        <v>1975</v>
      </c>
      <c r="L33" t="n">
        <v>0</v>
      </c>
      <c r="M33" t="n">
        <v>1975</v>
      </c>
      <c r="N33" t="n">
        <v>42812.5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100</v>
      </c>
      <c r="C34" t="n">
        <v>100</v>
      </c>
      <c r="D34" t="n">
        <v>0</v>
      </c>
      <c r="E34" t="n">
        <v>7900</v>
      </c>
      <c r="F34" t="n">
        <v>0</v>
      </c>
      <c r="G34" t="n">
        <v>100</v>
      </c>
      <c r="H34" t="n">
        <v>100</v>
      </c>
      <c r="I34" t="n">
        <v>7800</v>
      </c>
      <c r="J34" t="n">
        <v>0</v>
      </c>
      <c r="K34" t="n">
        <v>1950</v>
      </c>
      <c r="L34" t="n">
        <v>0</v>
      </c>
      <c r="M34" t="n">
        <v>1950</v>
      </c>
      <c r="N34" t="n">
        <v>44762.5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200</v>
      </c>
      <c r="C35" t="n">
        <v>200</v>
      </c>
      <c r="D35" t="n">
        <v>0</v>
      </c>
      <c r="E35" t="n">
        <v>7800</v>
      </c>
      <c r="F35" t="n">
        <v>0</v>
      </c>
      <c r="G35" t="n">
        <v>200</v>
      </c>
      <c r="H35" t="n">
        <v>200</v>
      </c>
      <c r="I35" t="n">
        <v>7600</v>
      </c>
      <c r="J35" t="n">
        <v>0</v>
      </c>
      <c r="K35" t="n">
        <v>1900</v>
      </c>
      <c r="L35" t="n">
        <v>0</v>
      </c>
      <c r="M35" t="n">
        <v>1900</v>
      </c>
      <c r="N35" t="n">
        <v>46662.5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300</v>
      </c>
      <c r="C36" t="n">
        <v>300</v>
      </c>
      <c r="D36" t="n">
        <v>0</v>
      </c>
      <c r="E36" t="n">
        <v>7600</v>
      </c>
      <c r="F36" t="n">
        <v>0</v>
      </c>
      <c r="G36" t="n">
        <v>300</v>
      </c>
      <c r="H36" t="n">
        <v>300</v>
      </c>
      <c r="I36" t="n">
        <v>7300</v>
      </c>
      <c r="J36" t="n">
        <v>0</v>
      </c>
      <c r="K36" t="n">
        <v>1825</v>
      </c>
      <c r="L36" t="n">
        <v>0</v>
      </c>
      <c r="M36" t="n">
        <v>1825</v>
      </c>
      <c r="N36" t="n">
        <v>48487.5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400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300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200</v>
      </c>
      <c r="C4" t="n">
        <v>200</v>
      </c>
      <c r="D4" t="n">
        <v>0</v>
      </c>
      <c r="E4" t="n">
        <v>200</v>
      </c>
      <c r="F4" t="n">
        <v>0</v>
      </c>
      <c r="G4" t="n">
        <v>200</v>
      </c>
      <c r="H4" t="n">
        <v>200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87.5</v>
      </c>
      <c r="P4" t="n">
        <v>500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200</v>
      </c>
      <c r="C5" t="n">
        <v>200</v>
      </c>
      <c r="D5" t="n">
        <v>0</v>
      </c>
      <c r="E5" t="n">
        <v>0</v>
      </c>
      <c r="F5" t="n">
        <v>0</v>
      </c>
      <c r="G5" t="n">
        <v>200</v>
      </c>
      <c r="H5" t="n">
        <v>0</v>
      </c>
      <c r="I5" t="n">
        <v>0</v>
      </c>
      <c r="J5" t="n">
        <v>200</v>
      </c>
      <c r="K5" t="n">
        <v>0</v>
      </c>
      <c r="L5" t="n">
        <v>200</v>
      </c>
      <c r="M5" t="n">
        <v>200</v>
      </c>
      <c r="N5" t="n">
        <v>287.5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500</v>
      </c>
      <c r="C6" t="n">
        <v>500</v>
      </c>
      <c r="D6" t="n">
        <v>400</v>
      </c>
      <c r="E6" t="n">
        <v>0</v>
      </c>
      <c r="F6" t="n">
        <v>200</v>
      </c>
      <c r="G6" t="n">
        <v>700</v>
      </c>
      <c r="H6" t="n">
        <v>400</v>
      </c>
      <c r="I6" t="n">
        <v>0</v>
      </c>
      <c r="J6" t="n">
        <v>300</v>
      </c>
      <c r="K6" t="n">
        <v>0</v>
      </c>
      <c r="L6" t="n">
        <v>300</v>
      </c>
      <c r="M6" t="n">
        <v>300</v>
      </c>
      <c r="N6" t="n">
        <v>587.5</v>
      </c>
      <c r="P6" t="n">
        <v>400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700</v>
      </c>
      <c r="C7" t="n">
        <v>700</v>
      </c>
      <c r="D7" t="n">
        <v>300</v>
      </c>
      <c r="E7" t="n">
        <v>0</v>
      </c>
      <c r="F7" t="n">
        <v>300</v>
      </c>
      <c r="G7" t="n">
        <v>1000</v>
      </c>
      <c r="H7" t="n">
        <v>300</v>
      </c>
      <c r="I7" t="n">
        <v>0</v>
      </c>
      <c r="J7" t="n">
        <v>700</v>
      </c>
      <c r="K7" t="n">
        <v>0</v>
      </c>
      <c r="L7" t="n">
        <v>700</v>
      </c>
      <c r="M7" t="n">
        <v>700</v>
      </c>
      <c r="N7" t="n">
        <v>1287.5</v>
      </c>
      <c r="P7" t="n">
        <v>600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1200</v>
      </c>
      <c r="C8" t="n">
        <v>1200</v>
      </c>
      <c r="D8" t="n">
        <v>500</v>
      </c>
      <c r="E8" t="n">
        <v>0</v>
      </c>
      <c r="F8" t="n">
        <v>700</v>
      </c>
      <c r="G8" t="n">
        <v>1900</v>
      </c>
      <c r="H8" t="n">
        <v>500</v>
      </c>
      <c r="I8" t="n">
        <v>0</v>
      </c>
      <c r="J8" t="n">
        <v>1400</v>
      </c>
      <c r="K8" t="n">
        <v>0</v>
      </c>
      <c r="L8" t="n">
        <v>1400</v>
      </c>
      <c r="M8" t="n">
        <v>1400</v>
      </c>
      <c r="N8" t="n">
        <v>2687.5</v>
      </c>
      <c r="P8" t="n">
        <v>1500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1200</v>
      </c>
      <c r="C9" t="n">
        <v>1200</v>
      </c>
      <c r="D9" t="n">
        <v>300</v>
      </c>
      <c r="E9" t="n">
        <v>0</v>
      </c>
      <c r="F9" t="n">
        <v>1400</v>
      </c>
      <c r="G9" t="n">
        <v>2600</v>
      </c>
      <c r="H9" t="n">
        <v>300</v>
      </c>
      <c r="I9" t="n">
        <v>0</v>
      </c>
      <c r="J9" t="n">
        <v>2300</v>
      </c>
      <c r="K9" t="n">
        <v>0</v>
      </c>
      <c r="L9" t="n">
        <v>2300</v>
      </c>
      <c r="M9" t="n">
        <v>2300</v>
      </c>
      <c r="N9" t="n">
        <v>4987.5</v>
      </c>
      <c r="P9" t="n">
        <v>2300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1400</v>
      </c>
      <c r="C10" t="n">
        <v>1400</v>
      </c>
      <c r="D10" t="n">
        <v>400</v>
      </c>
      <c r="E10" t="n">
        <v>0</v>
      </c>
      <c r="F10" t="n">
        <v>2300</v>
      </c>
      <c r="G10" t="n">
        <v>3700</v>
      </c>
      <c r="H10" t="n">
        <v>400</v>
      </c>
      <c r="I10" t="n">
        <v>0</v>
      </c>
      <c r="J10" t="n">
        <v>3300</v>
      </c>
      <c r="K10" t="n">
        <v>0</v>
      </c>
      <c r="L10" t="n">
        <v>3300</v>
      </c>
      <c r="M10" t="n">
        <v>3300</v>
      </c>
      <c r="N10" t="n">
        <v>8287.5</v>
      </c>
      <c r="P10" t="n">
        <v>3300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1300</v>
      </c>
      <c r="C11" t="n">
        <v>1300</v>
      </c>
      <c r="D11" t="n">
        <v>400</v>
      </c>
      <c r="E11" t="n">
        <v>0</v>
      </c>
      <c r="F11" t="n">
        <v>3300</v>
      </c>
      <c r="G11" t="n">
        <v>4600</v>
      </c>
      <c r="H11" t="n">
        <v>400</v>
      </c>
      <c r="I11" t="n">
        <v>0</v>
      </c>
      <c r="J11" t="n">
        <v>4200</v>
      </c>
      <c r="K11" t="n">
        <v>0</v>
      </c>
      <c r="L11" t="n">
        <v>4200</v>
      </c>
      <c r="M11" t="n">
        <v>4200</v>
      </c>
      <c r="N11" t="n">
        <v>12487.5</v>
      </c>
      <c r="P11" t="n">
        <v>4200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1500</v>
      </c>
      <c r="C12" t="n">
        <v>1500</v>
      </c>
      <c r="D12" t="n">
        <v>400</v>
      </c>
      <c r="E12" t="n">
        <v>0</v>
      </c>
      <c r="F12" t="n">
        <v>4200</v>
      </c>
      <c r="G12" t="n">
        <v>5700</v>
      </c>
      <c r="H12" t="n">
        <v>400</v>
      </c>
      <c r="I12" t="n">
        <v>0</v>
      </c>
      <c r="J12" t="n">
        <v>5300</v>
      </c>
      <c r="K12" t="n">
        <v>0</v>
      </c>
      <c r="L12" t="n">
        <v>5300</v>
      </c>
      <c r="M12" t="n">
        <v>5300</v>
      </c>
      <c r="N12" t="n">
        <v>17787.5</v>
      </c>
      <c r="P12" t="n">
        <v>5100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1300</v>
      </c>
      <c r="C13" t="n">
        <v>1300</v>
      </c>
      <c r="D13" t="n">
        <v>600</v>
      </c>
      <c r="E13" t="n">
        <v>0</v>
      </c>
      <c r="F13" t="n">
        <v>5300</v>
      </c>
      <c r="G13" t="n">
        <v>6600</v>
      </c>
      <c r="H13" t="n">
        <v>600</v>
      </c>
      <c r="I13" t="n">
        <v>0</v>
      </c>
      <c r="J13" t="n">
        <v>6000</v>
      </c>
      <c r="K13" t="n">
        <v>0</v>
      </c>
      <c r="L13" t="n">
        <v>6000</v>
      </c>
      <c r="M13" t="n">
        <v>6000</v>
      </c>
      <c r="N13" t="n">
        <v>23787.5</v>
      </c>
      <c r="P13" t="n">
        <v>4900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900</v>
      </c>
      <c r="C14" t="n">
        <v>900</v>
      </c>
      <c r="D14" t="n">
        <v>1500</v>
      </c>
      <c r="E14" t="n">
        <v>0</v>
      </c>
      <c r="F14" t="n">
        <v>6000</v>
      </c>
      <c r="G14" t="n">
        <v>6900</v>
      </c>
      <c r="H14" t="n">
        <v>1500</v>
      </c>
      <c r="I14" t="n">
        <v>0</v>
      </c>
      <c r="J14" t="n">
        <v>5400</v>
      </c>
      <c r="K14" t="n">
        <v>0</v>
      </c>
      <c r="L14" t="n">
        <v>5400</v>
      </c>
      <c r="M14" t="n">
        <v>5400</v>
      </c>
      <c r="N14" t="n">
        <v>29187.5</v>
      </c>
      <c r="P14" t="n">
        <v>3500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500</v>
      </c>
      <c r="C15" t="n">
        <v>500</v>
      </c>
      <c r="D15" t="n">
        <v>2300</v>
      </c>
      <c r="E15" t="n">
        <v>0</v>
      </c>
      <c r="F15" t="n">
        <v>5400</v>
      </c>
      <c r="G15" t="n">
        <v>5900</v>
      </c>
      <c r="H15" t="n">
        <v>2300</v>
      </c>
      <c r="I15" t="n">
        <v>0</v>
      </c>
      <c r="J15" t="n">
        <v>3600</v>
      </c>
      <c r="K15" t="n">
        <v>0</v>
      </c>
      <c r="L15" t="n">
        <v>3600</v>
      </c>
      <c r="M15" t="n">
        <v>3600</v>
      </c>
      <c r="N15" t="n">
        <v>32787.5</v>
      </c>
      <c r="P15" t="n">
        <v>700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3300</v>
      </c>
      <c r="E16" t="n">
        <v>0</v>
      </c>
      <c r="F16" t="n">
        <v>3600</v>
      </c>
      <c r="G16" t="n">
        <v>3600</v>
      </c>
      <c r="H16" t="n">
        <v>3300</v>
      </c>
      <c r="I16" t="n">
        <v>0</v>
      </c>
      <c r="J16" t="n">
        <v>300</v>
      </c>
      <c r="K16" t="n">
        <v>0</v>
      </c>
      <c r="L16" t="n">
        <v>300</v>
      </c>
      <c r="M16" t="n">
        <v>300</v>
      </c>
      <c r="N16" t="n">
        <v>33087.5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4200</v>
      </c>
      <c r="E17" t="n">
        <v>0</v>
      </c>
      <c r="F17" t="n">
        <v>300</v>
      </c>
      <c r="G17" t="n">
        <v>300</v>
      </c>
      <c r="H17" t="n">
        <v>300</v>
      </c>
      <c r="I17" t="n">
        <v>3900</v>
      </c>
      <c r="J17" t="n">
        <v>0</v>
      </c>
      <c r="K17" t="n">
        <v>975</v>
      </c>
      <c r="L17" t="n">
        <v>0</v>
      </c>
      <c r="M17" t="n">
        <v>975</v>
      </c>
      <c r="N17" t="n">
        <v>34062.5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5100</v>
      </c>
      <c r="E18" t="n">
        <v>3900</v>
      </c>
      <c r="F18" t="n">
        <v>0</v>
      </c>
      <c r="G18" t="n">
        <v>0</v>
      </c>
      <c r="H18" t="n">
        <v>0</v>
      </c>
      <c r="I18" t="n">
        <v>9000</v>
      </c>
      <c r="J18" t="n">
        <v>0</v>
      </c>
      <c r="K18" t="n">
        <v>2250</v>
      </c>
      <c r="L18" t="n">
        <v>0</v>
      </c>
      <c r="M18" t="n">
        <v>2250</v>
      </c>
      <c r="N18" t="n">
        <v>36312.5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4900</v>
      </c>
      <c r="E19" t="n">
        <v>9000</v>
      </c>
      <c r="F19" t="n">
        <v>0</v>
      </c>
      <c r="G19" t="n">
        <v>0</v>
      </c>
      <c r="H19" t="n">
        <v>0</v>
      </c>
      <c r="I19" t="n">
        <v>13900</v>
      </c>
      <c r="J19" t="n">
        <v>0</v>
      </c>
      <c r="K19" t="n">
        <v>3475</v>
      </c>
      <c r="L19" t="n">
        <v>0</v>
      </c>
      <c r="M19" t="n">
        <v>3475</v>
      </c>
      <c r="N19" t="n">
        <v>39787.5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3400</v>
      </c>
      <c r="E20" t="n">
        <v>13900</v>
      </c>
      <c r="F20" t="n">
        <v>0</v>
      </c>
      <c r="G20" t="n">
        <v>0</v>
      </c>
      <c r="H20" t="n">
        <v>0</v>
      </c>
      <c r="I20" t="n">
        <v>17300</v>
      </c>
      <c r="J20" t="n">
        <v>0</v>
      </c>
      <c r="K20" t="n">
        <v>4325</v>
      </c>
      <c r="L20" t="n">
        <v>0</v>
      </c>
      <c r="M20" t="n">
        <v>4325</v>
      </c>
      <c r="N20" t="n">
        <v>44112.5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17300</v>
      </c>
      <c r="F21" t="n">
        <v>0</v>
      </c>
      <c r="G21" t="n">
        <v>0</v>
      </c>
      <c r="H21" t="n">
        <v>0</v>
      </c>
      <c r="I21" t="n">
        <v>17300</v>
      </c>
      <c r="J21" t="n">
        <v>0</v>
      </c>
      <c r="K21" t="n">
        <v>4325</v>
      </c>
      <c r="L21" t="n">
        <v>0</v>
      </c>
      <c r="M21" t="n">
        <v>4325</v>
      </c>
      <c r="N21" t="n">
        <v>48437.5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17300</v>
      </c>
      <c r="F22" t="n">
        <v>0</v>
      </c>
      <c r="G22" t="n">
        <v>0</v>
      </c>
      <c r="H22" t="n">
        <v>0</v>
      </c>
      <c r="I22" t="n">
        <v>17300</v>
      </c>
      <c r="J22" t="n">
        <v>0</v>
      </c>
      <c r="K22" t="n">
        <v>4325</v>
      </c>
      <c r="L22" t="n">
        <v>0</v>
      </c>
      <c r="M22" t="n">
        <v>4325</v>
      </c>
      <c r="N22" t="n">
        <v>52762.5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17300</v>
      </c>
      <c r="F23" t="n">
        <v>0</v>
      </c>
      <c r="G23" t="n">
        <v>0</v>
      </c>
      <c r="H23" t="n">
        <v>0</v>
      </c>
      <c r="I23" t="n">
        <v>17300</v>
      </c>
      <c r="J23" t="n">
        <v>0</v>
      </c>
      <c r="K23" t="n">
        <v>4325</v>
      </c>
      <c r="L23" t="n">
        <v>0</v>
      </c>
      <c r="M23" t="n">
        <v>4325</v>
      </c>
      <c r="N23" t="n">
        <v>57087.5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17300</v>
      </c>
      <c r="F24" t="n">
        <v>0</v>
      </c>
      <c r="G24" t="n">
        <v>0</v>
      </c>
      <c r="H24" t="n">
        <v>0</v>
      </c>
      <c r="I24" t="n">
        <v>17300</v>
      </c>
      <c r="J24" t="n">
        <v>0</v>
      </c>
      <c r="K24" t="n">
        <v>4325</v>
      </c>
      <c r="L24" t="n">
        <v>0</v>
      </c>
      <c r="M24" t="n">
        <v>4325</v>
      </c>
      <c r="N24" t="n">
        <v>61412.5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17300</v>
      </c>
      <c r="F25" t="n">
        <v>0</v>
      </c>
      <c r="G25" t="n">
        <v>0</v>
      </c>
      <c r="H25" t="n">
        <v>0</v>
      </c>
      <c r="I25" t="n">
        <v>17300</v>
      </c>
      <c r="J25" t="n">
        <v>0</v>
      </c>
      <c r="K25" t="n">
        <v>4325</v>
      </c>
      <c r="L25" t="n">
        <v>0</v>
      </c>
      <c r="M25" t="n">
        <v>4325</v>
      </c>
      <c r="N25" t="n">
        <v>65737.5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17300</v>
      </c>
      <c r="F26" t="n">
        <v>0</v>
      </c>
      <c r="G26" t="n">
        <v>0</v>
      </c>
      <c r="H26" t="n">
        <v>0</v>
      </c>
      <c r="I26" t="n">
        <v>17300</v>
      </c>
      <c r="J26" t="n">
        <v>0</v>
      </c>
      <c r="K26" t="n">
        <v>4325</v>
      </c>
      <c r="L26" t="n">
        <v>0</v>
      </c>
      <c r="M26" t="n">
        <v>4325</v>
      </c>
      <c r="N26" t="n">
        <v>70062.5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17300</v>
      </c>
      <c r="F27" t="n">
        <v>0</v>
      </c>
      <c r="G27" t="n">
        <v>0</v>
      </c>
      <c r="H27" t="n">
        <v>0</v>
      </c>
      <c r="I27" t="n">
        <v>17300</v>
      </c>
      <c r="J27" t="n">
        <v>0</v>
      </c>
      <c r="K27" t="n">
        <v>4325</v>
      </c>
      <c r="L27" t="n">
        <v>0</v>
      </c>
      <c r="M27" t="n">
        <v>4325</v>
      </c>
      <c r="N27" t="n">
        <v>74387.5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17300</v>
      </c>
      <c r="F28" t="n">
        <v>0</v>
      </c>
      <c r="G28" t="n">
        <v>0</v>
      </c>
      <c r="H28" t="n">
        <v>0</v>
      </c>
      <c r="I28" t="n">
        <v>17300</v>
      </c>
      <c r="J28" t="n">
        <v>0</v>
      </c>
      <c r="K28" t="n">
        <v>4325</v>
      </c>
      <c r="L28" t="n">
        <v>0</v>
      </c>
      <c r="M28" t="n">
        <v>4325</v>
      </c>
      <c r="N28" t="n">
        <v>78712.5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17300</v>
      </c>
      <c r="F29" t="n">
        <v>0</v>
      </c>
      <c r="G29" t="n">
        <v>0</v>
      </c>
      <c r="H29" t="n">
        <v>0</v>
      </c>
      <c r="I29" t="n">
        <v>17300</v>
      </c>
      <c r="J29" t="n">
        <v>0</v>
      </c>
      <c r="K29" t="n">
        <v>4325</v>
      </c>
      <c r="L29" t="n">
        <v>0</v>
      </c>
      <c r="M29" t="n">
        <v>4325</v>
      </c>
      <c r="N29" t="n">
        <v>83037.5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17300</v>
      </c>
      <c r="F30" t="n">
        <v>0</v>
      </c>
      <c r="G30" t="n">
        <v>0</v>
      </c>
      <c r="H30" t="n">
        <v>0</v>
      </c>
      <c r="I30" t="n">
        <v>17300</v>
      </c>
      <c r="J30" t="n">
        <v>0</v>
      </c>
      <c r="K30" t="n">
        <v>4325</v>
      </c>
      <c r="L30" t="n">
        <v>0</v>
      </c>
      <c r="M30" t="n">
        <v>4325</v>
      </c>
      <c r="N30" t="n">
        <v>87362.5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17300</v>
      </c>
      <c r="F31" t="n">
        <v>0</v>
      </c>
      <c r="G31" t="n">
        <v>0</v>
      </c>
      <c r="H31" t="n">
        <v>0</v>
      </c>
      <c r="I31" t="n">
        <v>17300</v>
      </c>
      <c r="J31" t="n">
        <v>0</v>
      </c>
      <c r="K31" t="n">
        <v>4325</v>
      </c>
      <c r="L31" t="n">
        <v>0</v>
      </c>
      <c r="M31" t="n">
        <v>4325</v>
      </c>
      <c r="N31" t="n">
        <v>91687.5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17300</v>
      </c>
      <c r="F32" t="n">
        <v>0</v>
      </c>
      <c r="G32" t="n">
        <v>0</v>
      </c>
      <c r="H32" t="n">
        <v>0</v>
      </c>
      <c r="I32" t="n">
        <v>17300</v>
      </c>
      <c r="J32" t="n">
        <v>0</v>
      </c>
      <c r="K32" t="n">
        <v>4325</v>
      </c>
      <c r="L32" t="n">
        <v>0</v>
      </c>
      <c r="M32" t="n">
        <v>4325</v>
      </c>
      <c r="N32" t="n">
        <v>96012.5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17300</v>
      </c>
      <c r="F33" t="n">
        <v>0</v>
      </c>
      <c r="G33" t="n">
        <v>0</v>
      </c>
      <c r="H33" t="n">
        <v>0</v>
      </c>
      <c r="I33" t="n">
        <v>17300</v>
      </c>
      <c r="J33" t="n">
        <v>0</v>
      </c>
      <c r="K33" t="n">
        <v>4325</v>
      </c>
      <c r="L33" t="n">
        <v>0</v>
      </c>
      <c r="M33" t="n">
        <v>4325</v>
      </c>
      <c r="N33" t="n">
        <v>100337.5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17300</v>
      </c>
      <c r="F34" t="n">
        <v>0</v>
      </c>
      <c r="G34" t="n">
        <v>0</v>
      </c>
      <c r="H34" t="n">
        <v>0</v>
      </c>
      <c r="I34" t="n">
        <v>17300</v>
      </c>
      <c r="J34" t="n">
        <v>0</v>
      </c>
      <c r="K34" t="n">
        <v>4325</v>
      </c>
      <c r="L34" t="n">
        <v>0</v>
      </c>
      <c r="M34" t="n">
        <v>4325</v>
      </c>
      <c r="N34" t="n">
        <v>104662.5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17300</v>
      </c>
      <c r="F35" t="n">
        <v>0</v>
      </c>
      <c r="G35" t="n">
        <v>0</v>
      </c>
      <c r="H35" t="n">
        <v>0</v>
      </c>
      <c r="I35" t="n">
        <v>17300</v>
      </c>
      <c r="J35" t="n">
        <v>0</v>
      </c>
      <c r="K35" t="n">
        <v>4325</v>
      </c>
      <c r="L35" t="n">
        <v>0</v>
      </c>
      <c r="M35" t="n">
        <v>4325</v>
      </c>
      <c r="N35" t="n">
        <v>108987.5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17300</v>
      </c>
      <c r="F36" t="n">
        <v>0</v>
      </c>
      <c r="G36" t="n">
        <v>0</v>
      </c>
      <c r="H36" t="n">
        <v>0</v>
      </c>
      <c r="I36" t="n">
        <v>17300</v>
      </c>
      <c r="J36" t="n">
        <v>0</v>
      </c>
      <c r="K36" t="n">
        <v>4325</v>
      </c>
      <c r="L36" t="n">
        <v>0</v>
      </c>
      <c r="M36" t="n">
        <v>4325</v>
      </c>
      <c r="N36" t="n">
        <v>113312.5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600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400</v>
      </c>
      <c r="C4" t="n">
        <v>400</v>
      </c>
      <c r="D4" t="n">
        <v>600</v>
      </c>
      <c r="E4" t="n">
        <v>200</v>
      </c>
      <c r="F4" t="n">
        <v>0</v>
      </c>
      <c r="G4" t="n">
        <v>400</v>
      </c>
      <c r="H4" t="n">
        <v>400</v>
      </c>
      <c r="I4" t="n">
        <v>400</v>
      </c>
      <c r="J4" t="n">
        <v>0</v>
      </c>
      <c r="K4" t="n">
        <v>100</v>
      </c>
      <c r="L4" t="n">
        <v>0</v>
      </c>
      <c r="M4" t="n">
        <v>100</v>
      </c>
      <c r="N4" t="n">
        <v>187.5</v>
      </c>
      <c r="P4" t="n">
        <v>400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300</v>
      </c>
      <c r="C5" t="n">
        <v>300</v>
      </c>
      <c r="D5" t="n">
        <v>0</v>
      </c>
      <c r="E5" t="n">
        <v>400</v>
      </c>
      <c r="F5" t="n">
        <v>0</v>
      </c>
      <c r="G5" t="n">
        <v>300</v>
      </c>
      <c r="H5" t="n">
        <v>300</v>
      </c>
      <c r="I5" t="n">
        <v>100</v>
      </c>
      <c r="J5" t="n">
        <v>0</v>
      </c>
      <c r="K5" t="n">
        <v>25</v>
      </c>
      <c r="L5" t="n">
        <v>0</v>
      </c>
      <c r="M5" t="n">
        <v>25</v>
      </c>
      <c r="N5" t="n">
        <v>212.5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500</v>
      </c>
      <c r="C6" t="n">
        <v>500</v>
      </c>
      <c r="D6" t="n">
        <v>400</v>
      </c>
      <c r="E6" t="n">
        <v>100</v>
      </c>
      <c r="F6" t="n">
        <v>0</v>
      </c>
      <c r="G6" t="n">
        <v>500</v>
      </c>
      <c r="H6" t="n">
        <v>500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212.5</v>
      </c>
      <c r="P6" t="n">
        <v>500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300</v>
      </c>
      <c r="E7" t="n">
        <v>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212.5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400</v>
      </c>
      <c r="C8" t="n">
        <v>400</v>
      </c>
      <c r="D8" t="n">
        <v>500</v>
      </c>
      <c r="E8" t="n">
        <v>0</v>
      </c>
      <c r="F8" t="n">
        <v>0</v>
      </c>
      <c r="G8" t="n">
        <v>400</v>
      </c>
      <c r="H8" t="n">
        <v>400</v>
      </c>
      <c r="I8" t="n">
        <v>100</v>
      </c>
      <c r="J8" t="n">
        <v>0</v>
      </c>
      <c r="K8" t="n">
        <v>25</v>
      </c>
      <c r="L8" t="n">
        <v>0</v>
      </c>
      <c r="M8" t="n">
        <v>25</v>
      </c>
      <c r="N8" t="n">
        <v>237.5</v>
      </c>
      <c r="P8" t="n">
        <v>400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600</v>
      </c>
      <c r="C9" t="n">
        <v>600</v>
      </c>
      <c r="D9" t="n">
        <v>300</v>
      </c>
      <c r="E9" t="n">
        <v>100</v>
      </c>
      <c r="F9" t="n">
        <v>0</v>
      </c>
      <c r="G9" t="n">
        <v>600</v>
      </c>
      <c r="H9" t="n">
        <v>400</v>
      </c>
      <c r="I9" t="n">
        <v>0</v>
      </c>
      <c r="J9" t="n">
        <v>200</v>
      </c>
      <c r="K9" t="n">
        <v>0</v>
      </c>
      <c r="L9" t="n">
        <v>200</v>
      </c>
      <c r="M9" t="n">
        <v>200</v>
      </c>
      <c r="N9" t="n">
        <v>437.5</v>
      </c>
      <c r="P9" t="n">
        <v>600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1500</v>
      </c>
      <c r="C10" t="n">
        <v>1500</v>
      </c>
      <c r="D10" t="n">
        <v>400</v>
      </c>
      <c r="E10" t="n">
        <v>0</v>
      </c>
      <c r="F10" t="n">
        <v>200</v>
      </c>
      <c r="G10" t="n">
        <v>1700</v>
      </c>
      <c r="H10" t="n">
        <v>400</v>
      </c>
      <c r="I10" t="n">
        <v>0</v>
      </c>
      <c r="J10" t="n">
        <v>1300</v>
      </c>
      <c r="K10" t="n">
        <v>0</v>
      </c>
      <c r="L10" t="n">
        <v>1300</v>
      </c>
      <c r="M10" t="n">
        <v>1300</v>
      </c>
      <c r="N10" t="n">
        <v>1737.5</v>
      </c>
      <c r="P10" t="n">
        <v>1500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2300</v>
      </c>
      <c r="C11" t="n">
        <v>2300</v>
      </c>
      <c r="D11" t="n">
        <v>600</v>
      </c>
      <c r="E11" t="n">
        <v>0</v>
      </c>
      <c r="F11" t="n">
        <v>1300</v>
      </c>
      <c r="G11" t="n">
        <v>3600</v>
      </c>
      <c r="H11" t="n">
        <v>600</v>
      </c>
      <c r="I11" t="n">
        <v>0</v>
      </c>
      <c r="J11" t="n">
        <v>3000</v>
      </c>
      <c r="K11" t="n">
        <v>0</v>
      </c>
      <c r="L11" t="n">
        <v>3000</v>
      </c>
      <c r="M11" t="n">
        <v>3000</v>
      </c>
      <c r="N11" t="n">
        <v>4737.5</v>
      </c>
      <c r="P11" t="n">
        <v>2300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3300</v>
      </c>
      <c r="C12" t="n">
        <v>3300</v>
      </c>
      <c r="D12" t="n">
        <v>1500</v>
      </c>
      <c r="E12" t="n">
        <v>0</v>
      </c>
      <c r="F12" t="n">
        <v>3000</v>
      </c>
      <c r="G12" t="n">
        <v>6300</v>
      </c>
      <c r="H12" t="n">
        <v>1500</v>
      </c>
      <c r="I12" t="n">
        <v>0</v>
      </c>
      <c r="J12" t="n">
        <v>4800</v>
      </c>
      <c r="K12" t="n">
        <v>0</v>
      </c>
      <c r="L12" t="n">
        <v>4800</v>
      </c>
      <c r="M12" t="n">
        <v>4800</v>
      </c>
      <c r="N12" t="n">
        <v>9537.5</v>
      </c>
      <c r="P12" t="n">
        <v>3300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4200</v>
      </c>
      <c r="C13" t="n">
        <v>4200</v>
      </c>
      <c r="D13" t="n">
        <v>2300</v>
      </c>
      <c r="E13" t="n">
        <v>0</v>
      </c>
      <c r="F13" t="n">
        <v>4800</v>
      </c>
      <c r="G13" t="n">
        <v>9000</v>
      </c>
      <c r="H13" t="n">
        <v>2300</v>
      </c>
      <c r="I13" t="n">
        <v>0</v>
      </c>
      <c r="J13" t="n">
        <v>6700</v>
      </c>
      <c r="K13" t="n">
        <v>0</v>
      </c>
      <c r="L13" t="n">
        <v>6700</v>
      </c>
      <c r="M13" t="n">
        <v>6700</v>
      </c>
      <c r="N13" t="n">
        <v>16237.5</v>
      </c>
      <c r="P13" t="n">
        <v>4200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5100</v>
      </c>
      <c r="C14" t="n">
        <v>5100</v>
      </c>
      <c r="D14" t="n">
        <v>3300</v>
      </c>
      <c r="E14" t="n">
        <v>0</v>
      </c>
      <c r="F14" t="n">
        <v>6700</v>
      </c>
      <c r="G14" t="n">
        <v>11800</v>
      </c>
      <c r="H14" t="n">
        <v>3300</v>
      </c>
      <c r="I14" t="n">
        <v>0</v>
      </c>
      <c r="J14" t="n">
        <v>8500</v>
      </c>
      <c r="K14" t="n">
        <v>0</v>
      </c>
      <c r="L14" t="n">
        <v>8500</v>
      </c>
      <c r="M14" t="n">
        <v>8500</v>
      </c>
      <c r="N14" t="n">
        <v>24737.5</v>
      </c>
      <c r="P14" t="n">
        <v>5100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4900</v>
      </c>
      <c r="C15" t="n">
        <v>4900</v>
      </c>
      <c r="D15" t="n">
        <v>4200</v>
      </c>
      <c r="E15" t="n">
        <v>0</v>
      </c>
      <c r="F15" t="n">
        <v>8500</v>
      </c>
      <c r="G15" t="n">
        <v>13400</v>
      </c>
      <c r="H15" t="n">
        <v>4200</v>
      </c>
      <c r="I15" t="n">
        <v>0</v>
      </c>
      <c r="J15" t="n">
        <v>9200</v>
      </c>
      <c r="K15" t="n">
        <v>0</v>
      </c>
      <c r="L15" t="n">
        <v>9200</v>
      </c>
      <c r="M15" t="n">
        <v>9200</v>
      </c>
      <c r="N15" t="n">
        <v>33937.5</v>
      </c>
      <c r="P15" t="n">
        <v>4900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3500</v>
      </c>
      <c r="C16" t="n">
        <v>3500</v>
      </c>
      <c r="D16" t="n">
        <v>5100</v>
      </c>
      <c r="E16" t="n">
        <v>0</v>
      </c>
      <c r="F16" t="n">
        <v>9200</v>
      </c>
      <c r="G16" t="n">
        <v>12700</v>
      </c>
      <c r="H16" t="n">
        <v>5100</v>
      </c>
      <c r="I16" t="n">
        <v>0</v>
      </c>
      <c r="J16" t="n">
        <v>7600</v>
      </c>
      <c r="K16" t="n">
        <v>0</v>
      </c>
      <c r="L16" t="n">
        <v>7600</v>
      </c>
      <c r="M16" t="n">
        <v>7600</v>
      </c>
      <c r="N16" t="n">
        <v>41537.5</v>
      </c>
      <c r="P16" t="n">
        <v>3400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700</v>
      </c>
      <c r="C17" t="n">
        <v>700</v>
      </c>
      <c r="D17" t="n">
        <v>4900</v>
      </c>
      <c r="E17" t="n">
        <v>0</v>
      </c>
      <c r="F17" t="n">
        <v>7600</v>
      </c>
      <c r="G17" t="n">
        <v>8300</v>
      </c>
      <c r="H17" t="n">
        <v>4900</v>
      </c>
      <c r="I17" t="n">
        <v>0</v>
      </c>
      <c r="J17" t="n">
        <v>3400</v>
      </c>
      <c r="K17" t="n">
        <v>0</v>
      </c>
      <c r="L17" t="n">
        <v>3400</v>
      </c>
      <c r="M17" t="n">
        <v>3400</v>
      </c>
      <c r="N17" t="n">
        <v>44937.5</v>
      </c>
      <c r="P17" t="n">
        <v>400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3400</v>
      </c>
      <c r="E18" t="n">
        <v>0</v>
      </c>
      <c r="F18" t="n">
        <v>3400</v>
      </c>
      <c r="G18" t="n">
        <v>3400</v>
      </c>
      <c r="H18" t="n">
        <v>3400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44937.5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400</v>
      </c>
      <c r="E19" t="n">
        <v>0</v>
      </c>
      <c r="F19" t="n">
        <v>0</v>
      </c>
      <c r="G19" t="n">
        <v>0</v>
      </c>
      <c r="H19" t="n">
        <v>0</v>
      </c>
      <c r="I19" t="n">
        <v>400</v>
      </c>
      <c r="J19" t="n">
        <v>0</v>
      </c>
      <c r="K19" t="n">
        <v>100</v>
      </c>
      <c r="L19" t="n">
        <v>0</v>
      </c>
      <c r="M19" t="n">
        <v>100</v>
      </c>
      <c r="N19" t="n">
        <v>45037.5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400</v>
      </c>
      <c r="F20" t="n">
        <v>0</v>
      </c>
      <c r="G20" t="n">
        <v>0</v>
      </c>
      <c r="H20" t="n">
        <v>0</v>
      </c>
      <c r="I20" t="n">
        <v>400</v>
      </c>
      <c r="J20" t="n">
        <v>0</v>
      </c>
      <c r="K20" t="n">
        <v>100</v>
      </c>
      <c r="L20" t="n">
        <v>0</v>
      </c>
      <c r="M20" t="n">
        <v>100</v>
      </c>
      <c r="N20" t="n">
        <v>45137.5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400</v>
      </c>
      <c r="F21" t="n">
        <v>0</v>
      </c>
      <c r="G21" t="n">
        <v>0</v>
      </c>
      <c r="H21" t="n">
        <v>0</v>
      </c>
      <c r="I21" t="n">
        <v>400</v>
      </c>
      <c r="J21" t="n">
        <v>0</v>
      </c>
      <c r="K21" t="n">
        <v>100</v>
      </c>
      <c r="L21" t="n">
        <v>0</v>
      </c>
      <c r="M21" t="n">
        <v>100</v>
      </c>
      <c r="N21" t="n">
        <v>45237.5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400</v>
      </c>
      <c r="F22" t="n">
        <v>0</v>
      </c>
      <c r="G22" t="n">
        <v>0</v>
      </c>
      <c r="H22" t="n">
        <v>0</v>
      </c>
      <c r="I22" t="n">
        <v>400</v>
      </c>
      <c r="J22" t="n">
        <v>0</v>
      </c>
      <c r="K22" t="n">
        <v>100</v>
      </c>
      <c r="L22" t="n">
        <v>0</v>
      </c>
      <c r="M22" t="n">
        <v>100</v>
      </c>
      <c r="N22" t="n">
        <v>45337.5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400</v>
      </c>
      <c r="F23" t="n">
        <v>0</v>
      </c>
      <c r="G23" t="n">
        <v>0</v>
      </c>
      <c r="H23" t="n">
        <v>0</v>
      </c>
      <c r="I23" t="n">
        <v>400</v>
      </c>
      <c r="J23" t="n">
        <v>0</v>
      </c>
      <c r="K23" t="n">
        <v>100</v>
      </c>
      <c r="L23" t="n">
        <v>0</v>
      </c>
      <c r="M23" t="n">
        <v>100</v>
      </c>
      <c r="N23" t="n">
        <v>45437.5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400</v>
      </c>
      <c r="F24" t="n">
        <v>0</v>
      </c>
      <c r="G24" t="n">
        <v>0</v>
      </c>
      <c r="H24" t="n">
        <v>0</v>
      </c>
      <c r="I24" t="n">
        <v>400</v>
      </c>
      <c r="J24" t="n">
        <v>0</v>
      </c>
      <c r="K24" t="n">
        <v>100</v>
      </c>
      <c r="L24" t="n">
        <v>0</v>
      </c>
      <c r="M24" t="n">
        <v>100</v>
      </c>
      <c r="N24" t="n">
        <v>45537.5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400</v>
      </c>
      <c r="F25" t="n">
        <v>0</v>
      </c>
      <c r="G25" t="n">
        <v>0</v>
      </c>
      <c r="H25" t="n">
        <v>0</v>
      </c>
      <c r="I25" t="n">
        <v>400</v>
      </c>
      <c r="J25" t="n">
        <v>0</v>
      </c>
      <c r="K25" t="n">
        <v>100</v>
      </c>
      <c r="L25" t="n">
        <v>0</v>
      </c>
      <c r="M25" t="n">
        <v>100</v>
      </c>
      <c r="N25" t="n">
        <v>45637.5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400</v>
      </c>
      <c r="F26" t="n">
        <v>0</v>
      </c>
      <c r="G26" t="n">
        <v>0</v>
      </c>
      <c r="H26" t="n">
        <v>0</v>
      </c>
      <c r="I26" t="n">
        <v>400</v>
      </c>
      <c r="J26" t="n">
        <v>0</v>
      </c>
      <c r="K26" t="n">
        <v>100</v>
      </c>
      <c r="L26" t="n">
        <v>0</v>
      </c>
      <c r="M26" t="n">
        <v>100</v>
      </c>
      <c r="N26" t="n">
        <v>45737.5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400</v>
      </c>
      <c r="F27" t="n">
        <v>0</v>
      </c>
      <c r="G27" t="n">
        <v>0</v>
      </c>
      <c r="H27" t="n">
        <v>0</v>
      </c>
      <c r="I27" t="n">
        <v>400</v>
      </c>
      <c r="J27" t="n">
        <v>0</v>
      </c>
      <c r="K27" t="n">
        <v>100</v>
      </c>
      <c r="L27" t="n">
        <v>0</v>
      </c>
      <c r="M27" t="n">
        <v>100</v>
      </c>
      <c r="N27" t="n">
        <v>45837.5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400</v>
      </c>
      <c r="F28" t="n">
        <v>0</v>
      </c>
      <c r="G28" t="n">
        <v>0</v>
      </c>
      <c r="H28" t="n">
        <v>0</v>
      </c>
      <c r="I28" t="n">
        <v>400</v>
      </c>
      <c r="J28" t="n">
        <v>0</v>
      </c>
      <c r="K28" t="n">
        <v>100</v>
      </c>
      <c r="L28" t="n">
        <v>0</v>
      </c>
      <c r="M28" t="n">
        <v>100</v>
      </c>
      <c r="N28" t="n">
        <v>45937.5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400</v>
      </c>
      <c r="F29" t="n">
        <v>0</v>
      </c>
      <c r="G29" t="n">
        <v>0</v>
      </c>
      <c r="H29" t="n">
        <v>0</v>
      </c>
      <c r="I29" t="n">
        <v>400</v>
      </c>
      <c r="J29" t="n">
        <v>0</v>
      </c>
      <c r="K29" t="n">
        <v>100</v>
      </c>
      <c r="L29" t="n">
        <v>0</v>
      </c>
      <c r="M29" t="n">
        <v>100</v>
      </c>
      <c r="N29" t="n">
        <v>46037.5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400</v>
      </c>
      <c r="F30" t="n">
        <v>0</v>
      </c>
      <c r="G30" t="n">
        <v>0</v>
      </c>
      <c r="H30" t="n">
        <v>0</v>
      </c>
      <c r="I30" t="n">
        <v>400</v>
      </c>
      <c r="J30" t="n">
        <v>0</v>
      </c>
      <c r="K30" t="n">
        <v>100</v>
      </c>
      <c r="L30" t="n">
        <v>0</v>
      </c>
      <c r="M30" t="n">
        <v>100</v>
      </c>
      <c r="N30" t="n">
        <v>46137.5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400</v>
      </c>
      <c r="F31" t="n">
        <v>0</v>
      </c>
      <c r="G31" t="n">
        <v>0</v>
      </c>
      <c r="H31" t="n">
        <v>0</v>
      </c>
      <c r="I31" t="n">
        <v>400</v>
      </c>
      <c r="J31" t="n">
        <v>0</v>
      </c>
      <c r="K31" t="n">
        <v>100</v>
      </c>
      <c r="L31" t="n">
        <v>0</v>
      </c>
      <c r="M31" t="n">
        <v>100</v>
      </c>
      <c r="N31" t="n">
        <v>46237.5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400</v>
      </c>
      <c r="F32" t="n">
        <v>0</v>
      </c>
      <c r="G32" t="n">
        <v>0</v>
      </c>
      <c r="H32" t="n">
        <v>0</v>
      </c>
      <c r="I32" t="n">
        <v>400</v>
      </c>
      <c r="J32" t="n">
        <v>0</v>
      </c>
      <c r="K32" t="n">
        <v>100</v>
      </c>
      <c r="L32" t="n">
        <v>0</v>
      </c>
      <c r="M32" t="n">
        <v>100</v>
      </c>
      <c r="N32" t="n">
        <v>46337.5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400</v>
      </c>
      <c r="F33" t="n">
        <v>0</v>
      </c>
      <c r="G33" t="n">
        <v>0</v>
      </c>
      <c r="H33" t="n">
        <v>0</v>
      </c>
      <c r="I33" t="n">
        <v>400</v>
      </c>
      <c r="J33" t="n">
        <v>0</v>
      </c>
      <c r="K33" t="n">
        <v>100</v>
      </c>
      <c r="L33" t="n">
        <v>0</v>
      </c>
      <c r="M33" t="n">
        <v>100</v>
      </c>
      <c r="N33" t="n">
        <v>46437.5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400</v>
      </c>
      <c r="F34" t="n">
        <v>0</v>
      </c>
      <c r="G34" t="n">
        <v>0</v>
      </c>
      <c r="H34" t="n">
        <v>0</v>
      </c>
      <c r="I34" t="n">
        <v>400</v>
      </c>
      <c r="J34" t="n">
        <v>0</v>
      </c>
      <c r="K34" t="n">
        <v>100</v>
      </c>
      <c r="L34" t="n">
        <v>0</v>
      </c>
      <c r="M34" t="n">
        <v>100</v>
      </c>
      <c r="N34" t="n">
        <v>46537.5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400</v>
      </c>
      <c r="F35" t="n">
        <v>0</v>
      </c>
      <c r="G35" t="n">
        <v>0</v>
      </c>
      <c r="H35" t="n">
        <v>0</v>
      </c>
      <c r="I35" t="n">
        <v>400</v>
      </c>
      <c r="J35" t="n">
        <v>0</v>
      </c>
      <c r="K35" t="n">
        <v>100</v>
      </c>
      <c r="L35" t="n">
        <v>0</v>
      </c>
      <c r="M35" t="n">
        <v>100</v>
      </c>
      <c r="N35" t="n">
        <v>46637.5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400</v>
      </c>
      <c r="F36" t="n">
        <v>0</v>
      </c>
      <c r="G36" t="n">
        <v>0</v>
      </c>
      <c r="H36" t="n">
        <v>0</v>
      </c>
      <c r="I36" t="n">
        <v>400</v>
      </c>
      <c r="J36" t="n">
        <v>0</v>
      </c>
      <c r="K36" t="n">
        <v>100</v>
      </c>
      <c r="L36" t="n">
        <v>0</v>
      </c>
      <c r="M36" t="n">
        <v>100</v>
      </c>
      <c r="N36" t="n">
        <v>46737.5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91</v>
      </c>
      <c r="C2" t="n">
        <v>91</v>
      </c>
      <c r="D2" t="n">
        <v>50</v>
      </c>
      <c r="E2" t="n">
        <v>100</v>
      </c>
      <c r="F2" t="n">
        <v>0</v>
      </c>
      <c r="G2" t="n">
        <v>91</v>
      </c>
      <c r="H2" t="n">
        <v>91</v>
      </c>
      <c r="I2" t="n">
        <v>59</v>
      </c>
      <c r="J2" t="n">
        <v>0</v>
      </c>
      <c r="K2" t="n">
        <v>14.75</v>
      </c>
      <c r="L2" t="n">
        <v>0</v>
      </c>
      <c r="M2" t="n">
        <v>14.75</v>
      </c>
      <c r="N2" t="n">
        <v>14.75</v>
      </c>
      <c r="P2" t="n">
        <v>291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139</v>
      </c>
      <c r="C3" t="n">
        <v>139</v>
      </c>
      <c r="D3" t="n">
        <v>50</v>
      </c>
      <c r="E3" t="n">
        <v>59</v>
      </c>
      <c r="F3" t="n">
        <v>0</v>
      </c>
      <c r="G3" t="n">
        <v>139</v>
      </c>
      <c r="H3" t="n">
        <v>109</v>
      </c>
      <c r="I3" t="n">
        <v>0</v>
      </c>
      <c r="J3" t="n">
        <v>30</v>
      </c>
      <c r="K3" t="n">
        <v>0</v>
      </c>
      <c r="L3" t="n">
        <v>30</v>
      </c>
      <c r="M3" t="n">
        <v>30</v>
      </c>
      <c r="N3" t="n">
        <v>44.75</v>
      </c>
      <c r="P3" t="n">
        <v>430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109</v>
      </c>
      <c r="C4" t="n">
        <v>109</v>
      </c>
      <c r="D4" t="n">
        <v>0</v>
      </c>
      <c r="E4" t="n">
        <v>0</v>
      </c>
      <c r="F4" t="n">
        <v>30</v>
      </c>
      <c r="G4" t="n">
        <v>139</v>
      </c>
      <c r="H4" t="n">
        <v>0</v>
      </c>
      <c r="I4" t="n">
        <v>0</v>
      </c>
      <c r="J4" t="n">
        <v>139</v>
      </c>
      <c r="K4" t="n">
        <v>0</v>
      </c>
      <c r="L4" t="n">
        <v>139</v>
      </c>
      <c r="M4" t="n">
        <v>139</v>
      </c>
      <c r="N4" t="n">
        <v>183.75</v>
      </c>
      <c r="P4" t="n">
        <v>539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127</v>
      </c>
      <c r="C5" t="n">
        <v>127</v>
      </c>
      <c r="D5" t="n">
        <v>0</v>
      </c>
      <c r="E5" t="n">
        <v>0</v>
      </c>
      <c r="F5" t="n">
        <v>139</v>
      </c>
      <c r="G5" t="n">
        <v>266</v>
      </c>
      <c r="H5" t="n">
        <v>0</v>
      </c>
      <c r="I5" t="n">
        <v>0</v>
      </c>
      <c r="J5" t="n">
        <v>266</v>
      </c>
      <c r="K5" t="n">
        <v>0</v>
      </c>
      <c r="L5" t="n">
        <v>266</v>
      </c>
      <c r="M5" t="n">
        <v>266</v>
      </c>
      <c r="N5" t="n">
        <v>449.75</v>
      </c>
      <c r="P5" t="n">
        <v>466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103</v>
      </c>
      <c r="C6" t="n">
        <v>103</v>
      </c>
      <c r="D6" t="n">
        <v>200</v>
      </c>
      <c r="E6" t="n">
        <v>0</v>
      </c>
      <c r="F6" t="n">
        <v>266</v>
      </c>
      <c r="G6" t="n">
        <v>369</v>
      </c>
      <c r="H6" t="n">
        <v>200</v>
      </c>
      <c r="I6" t="n">
        <v>0</v>
      </c>
      <c r="J6" t="n">
        <v>169</v>
      </c>
      <c r="K6" t="n">
        <v>0</v>
      </c>
      <c r="L6" t="n">
        <v>169</v>
      </c>
      <c r="M6" t="n">
        <v>169</v>
      </c>
      <c r="N6" t="n">
        <v>618.75</v>
      </c>
      <c r="P6" t="n">
        <v>569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151</v>
      </c>
      <c r="C7" t="n">
        <v>151</v>
      </c>
      <c r="D7" t="n">
        <v>0</v>
      </c>
      <c r="E7" t="n">
        <v>0</v>
      </c>
      <c r="F7" t="n">
        <v>169</v>
      </c>
      <c r="G7" t="n">
        <v>320</v>
      </c>
      <c r="H7" t="n">
        <v>0</v>
      </c>
      <c r="I7" t="n">
        <v>0</v>
      </c>
      <c r="J7" t="n">
        <v>320</v>
      </c>
      <c r="K7" t="n">
        <v>0</v>
      </c>
      <c r="L7" t="n">
        <v>320</v>
      </c>
      <c r="M7" t="n">
        <v>320</v>
      </c>
      <c r="N7" t="n">
        <v>938.75</v>
      </c>
      <c r="P7" t="n">
        <v>520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97</v>
      </c>
      <c r="C8" t="n">
        <v>97</v>
      </c>
      <c r="D8" t="n">
        <v>200</v>
      </c>
      <c r="E8" t="n">
        <v>0</v>
      </c>
      <c r="F8" t="n">
        <v>320</v>
      </c>
      <c r="G8" t="n">
        <v>417</v>
      </c>
      <c r="H8" t="n">
        <v>200</v>
      </c>
      <c r="I8" t="n">
        <v>0</v>
      </c>
      <c r="J8" t="n">
        <v>217</v>
      </c>
      <c r="K8" t="n">
        <v>0</v>
      </c>
      <c r="L8" t="n">
        <v>217</v>
      </c>
      <c r="M8" t="n">
        <v>217</v>
      </c>
      <c r="N8" t="n">
        <v>1155.75</v>
      </c>
      <c r="P8" t="n">
        <v>617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133</v>
      </c>
      <c r="C9" t="n">
        <v>133</v>
      </c>
      <c r="D9" t="n">
        <v>0</v>
      </c>
      <c r="E9" t="n">
        <v>0</v>
      </c>
      <c r="F9" t="n">
        <v>217</v>
      </c>
      <c r="G9" t="n">
        <v>350</v>
      </c>
      <c r="H9" t="n">
        <v>0</v>
      </c>
      <c r="I9" t="n">
        <v>0</v>
      </c>
      <c r="J9" t="n">
        <v>350</v>
      </c>
      <c r="K9" t="n">
        <v>0</v>
      </c>
      <c r="L9" t="n">
        <v>350</v>
      </c>
      <c r="M9" t="n">
        <v>350</v>
      </c>
      <c r="N9" t="n">
        <v>1505.75</v>
      </c>
      <c r="P9" t="n">
        <v>350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115</v>
      </c>
      <c r="C10" t="n">
        <v>115</v>
      </c>
      <c r="D10" t="n">
        <v>400</v>
      </c>
      <c r="E10" t="n">
        <v>0</v>
      </c>
      <c r="F10" t="n">
        <v>350</v>
      </c>
      <c r="G10" t="n">
        <v>465</v>
      </c>
      <c r="H10" t="n">
        <v>400</v>
      </c>
      <c r="I10" t="n">
        <v>0</v>
      </c>
      <c r="J10" t="n">
        <v>65</v>
      </c>
      <c r="K10" t="n">
        <v>0</v>
      </c>
      <c r="L10" t="n">
        <v>65</v>
      </c>
      <c r="M10" t="n">
        <v>65</v>
      </c>
      <c r="N10" t="n">
        <v>1570.75</v>
      </c>
      <c r="P10" t="n">
        <v>165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121</v>
      </c>
      <c r="C11" t="n">
        <v>121</v>
      </c>
      <c r="D11" t="n">
        <v>300</v>
      </c>
      <c r="E11" t="n">
        <v>0</v>
      </c>
      <c r="F11" t="n">
        <v>65</v>
      </c>
      <c r="G11" t="n">
        <v>186</v>
      </c>
      <c r="H11" t="n">
        <v>186</v>
      </c>
      <c r="I11" t="n">
        <v>114</v>
      </c>
      <c r="J11" t="n">
        <v>0</v>
      </c>
      <c r="K11" t="n">
        <v>28.5</v>
      </c>
      <c r="L11" t="n">
        <v>0</v>
      </c>
      <c r="M11" t="n">
        <v>28.5</v>
      </c>
      <c r="N11" t="n">
        <v>1599.25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85</v>
      </c>
      <c r="C12" t="n">
        <v>85</v>
      </c>
      <c r="D12" t="n">
        <v>500</v>
      </c>
      <c r="E12" t="n">
        <v>114</v>
      </c>
      <c r="F12" t="n">
        <v>0</v>
      </c>
      <c r="G12" t="n">
        <v>85</v>
      </c>
      <c r="H12" t="n">
        <v>85</v>
      </c>
      <c r="I12" t="n">
        <v>529</v>
      </c>
      <c r="J12" t="n">
        <v>0</v>
      </c>
      <c r="K12" t="n">
        <v>132.25</v>
      </c>
      <c r="L12" t="n">
        <v>0</v>
      </c>
      <c r="M12" t="n">
        <v>132.25</v>
      </c>
      <c r="N12" t="n">
        <v>1731.5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145</v>
      </c>
      <c r="C13" t="n">
        <v>145</v>
      </c>
      <c r="D13" t="n">
        <v>300</v>
      </c>
      <c r="E13" t="n">
        <v>529</v>
      </c>
      <c r="F13" t="n">
        <v>0</v>
      </c>
      <c r="G13" t="n">
        <v>145</v>
      </c>
      <c r="H13" t="n">
        <v>145</v>
      </c>
      <c r="I13" t="n">
        <v>684</v>
      </c>
      <c r="J13" t="n">
        <v>0</v>
      </c>
      <c r="K13" t="n">
        <v>171</v>
      </c>
      <c r="L13" t="n">
        <v>0</v>
      </c>
      <c r="M13" t="n">
        <v>171</v>
      </c>
      <c r="N13" t="n">
        <v>1902.5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113</v>
      </c>
      <c r="C14" t="n">
        <v>113</v>
      </c>
      <c r="D14" t="n">
        <v>391</v>
      </c>
      <c r="E14" t="n">
        <v>684</v>
      </c>
      <c r="F14" t="n">
        <v>0</v>
      </c>
      <c r="G14" t="n">
        <v>113</v>
      </c>
      <c r="H14" t="n">
        <v>113</v>
      </c>
      <c r="I14" t="n">
        <v>962</v>
      </c>
      <c r="J14" t="n">
        <v>0</v>
      </c>
      <c r="K14" t="n">
        <v>240.5</v>
      </c>
      <c r="L14" t="n">
        <v>0</v>
      </c>
      <c r="M14" t="n">
        <v>240.5</v>
      </c>
      <c r="N14" t="n">
        <v>2143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117</v>
      </c>
      <c r="C15" t="n">
        <v>117</v>
      </c>
      <c r="D15" t="n">
        <v>409</v>
      </c>
      <c r="E15" t="n">
        <v>962</v>
      </c>
      <c r="F15" t="n">
        <v>0</v>
      </c>
      <c r="G15" t="n">
        <v>117</v>
      </c>
      <c r="H15" t="n">
        <v>117</v>
      </c>
      <c r="I15" t="n">
        <v>1254</v>
      </c>
      <c r="J15" t="n">
        <v>0</v>
      </c>
      <c r="K15" t="n">
        <v>313.5</v>
      </c>
      <c r="L15" t="n">
        <v>0</v>
      </c>
      <c r="M15" t="n">
        <v>313.5</v>
      </c>
      <c r="N15" t="n">
        <v>2456.5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101</v>
      </c>
      <c r="C16" t="n">
        <v>101</v>
      </c>
      <c r="D16" t="n">
        <v>391</v>
      </c>
      <c r="E16" t="n">
        <v>1254</v>
      </c>
      <c r="F16" t="n">
        <v>0</v>
      </c>
      <c r="G16" t="n">
        <v>101</v>
      </c>
      <c r="H16" t="n">
        <v>101</v>
      </c>
      <c r="I16" t="n">
        <v>1544</v>
      </c>
      <c r="J16" t="n">
        <v>0</v>
      </c>
      <c r="K16" t="n">
        <v>386</v>
      </c>
      <c r="L16" t="n">
        <v>0</v>
      </c>
      <c r="M16" t="n">
        <v>386</v>
      </c>
      <c r="N16" t="n">
        <v>2842.5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129</v>
      </c>
      <c r="C17" t="n">
        <v>129</v>
      </c>
      <c r="D17" t="n">
        <v>612</v>
      </c>
      <c r="E17" t="n">
        <v>1544</v>
      </c>
      <c r="F17" t="n">
        <v>0</v>
      </c>
      <c r="G17" t="n">
        <v>129</v>
      </c>
      <c r="H17" t="n">
        <v>129</v>
      </c>
      <c r="I17" t="n">
        <v>2027</v>
      </c>
      <c r="J17" t="n">
        <v>0</v>
      </c>
      <c r="K17" t="n">
        <v>506.75</v>
      </c>
      <c r="L17" t="n">
        <v>0</v>
      </c>
      <c r="M17" t="n">
        <v>506.75</v>
      </c>
      <c r="N17" t="n">
        <v>3349.25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105</v>
      </c>
      <c r="C18" t="n">
        <v>105</v>
      </c>
      <c r="D18" t="n">
        <v>244</v>
      </c>
      <c r="E18" t="n">
        <v>2027</v>
      </c>
      <c r="F18" t="n">
        <v>0</v>
      </c>
      <c r="G18" t="n">
        <v>105</v>
      </c>
      <c r="H18" t="n">
        <v>105</v>
      </c>
      <c r="I18" t="n">
        <v>2166</v>
      </c>
      <c r="J18" t="n">
        <v>0</v>
      </c>
      <c r="K18" t="n">
        <v>541.5</v>
      </c>
      <c r="L18" t="n">
        <v>0</v>
      </c>
      <c r="M18" t="n">
        <v>541.5</v>
      </c>
      <c r="N18" t="n">
        <v>3890.75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125</v>
      </c>
      <c r="C19" t="n">
        <v>125</v>
      </c>
      <c r="D19" t="n">
        <v>0</v>
      </c>
      <c r="E19" t="n">
        <v>2166</v>
      </c>
      <c r="F19" t="n">
        <v>0</v>
      </c>
      <c r="G19" t="n">
        <v>125</v>
      </c>
      <c r="H19" t="n">
        <v>125</v>
      </c>
      <c r="I19" t="n">
        <v>2041</v>
      </c>
      <c r="J19" t="n">
        <v>0</v>
      </c>
      <c r="K19" t="n">
        <v>510.25</v>
      </c>
      <c r="L19" t="n">
        <v>0</v>
      </c>
      <c r="M19" t="n">
        <v>510.25</v>
      </c>
      <c r="N19" t="n">
        <v>4401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79</v>
      </c>
      <c r="C20" t="n">
        <v>79</v>
      </c>
      <c r="D20" t="n">
        <v>0</v>
      </c>
      <c r="E20" t="n">
        <v>2041</v>
      </c>
      <c r="F20" t="n">
        <v>0</v>
      </c>
      <c r="G20" t="n">
        <v>79</v>
      </c>
      <c r="H20" t="n">
        <v>79</v>
      </c>
      <c r="I20" t="n">
        <v>1962</v>
      </c>
      <c r="J20" t="n">
        <v>0</v>
      </c>
      <c r="K20" t="n">
        <v>490.5</v>
      </c>
      <c r="L20" t="n">
        <v>0</v>
      </c>
      <c r="M20" t="n">
        <v>490.5</v>
      </c>
      <c r="N20" t="n">
        <v>4891.5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163</v>
      </c>
      <c r="C21" t="n">
        <v>163</v>
      </c>
      <c r="D21" t="n">
        <v>0</v>
      </c>
      <c r="E21" t="n">
        <v>1962</v>
      </c>
      <c r="F21" t="n">
        <v>0</v>
      </c>
      <c r="G21" t="n">
        <v>163</v>
      </c>
      <c r="H21" t="n">
        <v>163</v>
      </c>
      <c r="I21" t="n">
        <v>1799</v>
      </c>
      <c r="J21" t="n">
        <v>0</v>
      </c>
      <c r="K21" t="n">
        <v>449.75</v>
      </c>
      <c r="L21" t="n">
        <v>0</v>
      </c>
      <c r="M21" t="n">
        <v>449.75</v>
      </c>
      <c r="N21" t="n">
        <v>5341.25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110</v>
      </c>
      <c r="C22" t="n">
        <v>110</v>
      </c>
      <c r="D22" t="n">
        <v>0</v>
      </c>
      <c r="E22" t="n">
        <v>1799</v>
      </c>
      <c r="F22" t="n">
        <v>0</v>
      </c>
      <c r="G22" t="n">
        <v>110</v>
      </c>
      <c r="H22" t="n">
        <v>110</v>
      </c>
      <c r="I22" t="n">
        <v>1689</v>
      </c>
      <c r="J22" t="n">
        <v>0</v>
      </c>
      <c r="K22" t="n">
        <v>422.25</v>
      </c>
      <c r="L22" t="n">
        <v>0</v>
      </c>
      <c r="M22" t="n">
        <v>422.25</v>
      </c>
      <c r="N22" t="n">
        <v>5763.5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120</v>
      </c>
      <c r="C23" t="n">
        <v>120</v>
      </c>
      <c r="D23" t="n">
        <v>0</v>
      </c>
      <c r="E23" t="n">
        <v>1689</v>
      </c>
      <c r="F23" t="n">
        <v>0</v>
      </c>
      <c r="G23" t="n">
        <v>120</v>
      </c>
      <c r="H23" t="n">
        <v>120</v>
      </c>
      <c r="I23" t="n">
        <v>1569</v>
      </c>
      <c r="J23" t="n">
        <v>0</v>
      </c>
      <c r="K23" t="n">
        <v>392.25</v>
      </c>
      <c r="L23" t="n">
        <v>0</v>
      </c>
      <c r="M23" t="n">
        <v>392.25</v>
      </c>
      <c r="N23" t="n">
        <v>6155.75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98</v>
      </c>
      <c r="C24" t="n">
        <v>98</v>
      </c>
      <c r="D24" t="n">
        <v>0</v>
      </c>
      <c r="E24" t="n">
        <v>1569</v>
      </c>
      <c r="F24" t="n">
        <v>0</v>
      </c>
      <c r="G24" t="n">
        <v>98</v>
      </c>
      <c r="H24" t="n">
        <v>98</v>
      </c>
      <c r="I24" t="n">
        <v>1471</v>
      </c>
      <c r="J24" t="n">
        <v>0</v>
      </c>
      <c r="K24" t="n">
        <v>367.75</v>
      </c>
      <c r="L24" t="n">
        <v>0</v>
      </c>
      <c r="M24" t="n">
        <v>367.75</v>
      </c>
      <c r="N24" t="n">
        <v>6523.5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132</v>
      </c>
      <c r="C25" t="n">
        <v>132</v>
      </c>
      <c r="D25" t="n">
        <v>0</v>
      </c>
      <c r="E25" t="n">
        <v>1471</v>
      </c>
      <c r="F25" t="n">
        <v>0</v>
      </c>
      <c r="G25" t="n">
        <v>132</v>
      </c>
      <c r="H25" t="n">
        <v>132</v>
      </c>
      <c r="I25" t="n">
        <v>1339</v>
      </c>
      <c r="J25" t="n">
        <v>0</v>
      </c>
      <c r="K25" t="n">
        <v>334.75</v>
      </c>
      <c r="L25" t="n">
        <v>0</v>
      </c>
      <c r="M25" t="n">
        <v>334.75</v>
      </c>
      <c r="N25" t="n">
        <v>6858.25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108</v>
      </c>
      <c r="C26" t="n">
        <v>108</v>
      </c>
      <c r="D26" t="n">
        <v>0</v>
      </c>
      <c r="E26" t="n">
        <v>1339</v>
      </c>
      <c r="F26" t="n">
        <v>0</v>
      </c>
      <c r="G26" t="n">
        <v>108</v>
      </c>
      <c r="H26" t="n">
        <v>108</v>
      </c>
      <c r="I26" t="n">
        <v>1231</v>
      </c>
      <c r="J26" t="n">
        <v>0</v>
      </c>
      <c r="K26" t="n">
        <v>307.75</v>
      </c>
      <c r="L26" t="n">
        <v>0</v>
      </c>
      <c r="M26" t="n">
        <v>307.75</v>
      </c>
      <c r="N26" t="n">
        <v>7166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122</v>
      </c>
      <c r="C27" t="n">
        <v>122</v>
      </c>
      <c r="D27" t="n">
        <v>0</v>
      </c>
      <c r="E27" t="n">
        <v>1231</v>
      </c>
      <c r="F27" t="n">
        <v>0</v>
      </c>
      <c r="G27" t="n">
        <v>122</v>
      </c>
      <c r="H27" t="n">
        <v>122</v>
      </c>
      <c r="I27" t="n">
        <v>1109</v>
      </c>
      <c r="J27" t="n">
        <v>0</v>
      </c>
      <c r="K27" t="n">
        <v>277.25</v>
      </c>
      <c r="L27" t="n">
        <v>0</v>
      </c>
      <c r="M27" t="n">
        <v>277.25</v>
      </c>
      <c r="N27" t="n">
        <v>7443.25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93</v>
      </c>
      <c r="C28" t="n">
        <v>93</v>
      </c>
      <c r="D28" t="n">
        <v>0</v>
      </c>
      <c r="E28" t="n">
        <v>1109</v>
      </c>
      <c r="F28" t="n">
        <v>0</v>
      </c>
      <c r="G28" t="n">
        <v>93</v>
      </c>
      <c r="H28" t="n">
        <v>93</v>
      </c>
      <c r="I28" t="n">
        <v>1016</v>
      </c>
      <c r="J28" t="n">
        <v>0</v>
      </c>
      <c r="K28" t="n">
        <v>254</v>
      </c>
      <c r="L28" t="n">
        <v>0</v>
      </c>
      <c r="M28" t="n">
        <v>254</v>
      </c>
      <c r="N28" t="n">
        <v>7697.25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137</v>
      </c>
      <c r="C29" t="n">
        <v>137</v>
      </c>
      <c r="D29" t="n">
        <v>0</v>
      </c>
      <c r="E29" t="n">
        <v>1016</v>
      </c>
      <c r="F29" t="n">
        <v>0</v>
      </c>
      <c r="G29" t="n">
        <v>137</v>
      </c>
      <c r="H29" t="n">
        <v>137</v>
      </c>
      <c r="I29" t="n">
        <v>879</v>
      </c>
      <c r="J29" t="n">
        <v>0</v>
      </c>
      <c r="K29" t="n">
        <v>219.75</v>
      </c>
      <c r="L29" t="n">
        <v>0</v>
      </c>
      <c r="M29" t="n">
        <v>219.75</v>
      </c>
      <c r="N29" t="n">
        <v>7917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111</v>
      </c>
      <c r="C30" t="n">
        <v>111</v>
      </c>
      <c r="D30" t="n">
        <v>0</v>
      </c>
      <c r="E30" t="n">
        <v>879</v>
      </c>
      <c r="F30" t="n">
        <v>0</v>
      </c>
      <c r="G30" t="n">
        <v>111</v>
      </c>
      <c r="H30" t="n">
        <v>111</v>
      </c>
      <c r="I30" t="n">
        <v>768</v>
      </c>
      <c r="J30" t="n">
        <v>0</v>
      </c>
      <c r="K30" t="n">
        <v>192</v>
      </c>
      <c r="L30" t="n">
        <v>0</v>
      </c>
      <c r="M30" t="n">
        <v>192</v>
      </c>
      <c r="N30" t="n">
        <v>8109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119</v>
      </c>
      <c r="C31" t="n">
        <v>119</v>
      </c>
      <c r="D31" t="n">
        <v>0</v>
      </c>
      <c r="E31" t="n">
        <v>768</v>
      </c>
      <c r="F31" t="n">
        <v>0</v>
      </c>
      <c r="G31" t="n">
        <v>119</v>
      </c>
      <c r="H31" t="n">
        <v>119</v>
      </c>
      <c r="I31" t="n">
        <v>649</v>
      </c>
      <c r="J31" t="n">
        <v>0</v>
      </c>
      <c r="K31" t="n">
        <v>162.25</v>
      </c>
      <c r="L31" t="n">
        <v>0</v>
      </c>
      <c r="M31" t="n">
        <v>162.25</v>
      </c>
      <c r="N31" t="n">
        <v>8271.25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102</v>
      </c>
      <c r="C32" t="n">
        <v>102</v>
      </c>
      <c r="D32" t="n">
        <v>0</v>
      </c>
      <c r="E32" t="n">
        <v>649</v>
      </c>
      <c r="F32" t="n">
        <v>0</v>
      </c>
      <c r="G32" t="n">
        <v>102</v>
      </c>
      <c r="H32" t="n">
        <v>102</v>
      </c>
      <c r="I32" t="n">
        <v>547</v>
      </c>
      <c r="J32" t="n">
        <v>0</v>
      </c>
      <c r="K32" t="n">
        <v>136.75</v>
      </c>
      <c r="L32" t="n">
        <v>0</v>
      </c>
      <c r="M32" t="n">
        <v>136.75</v>
      </c>
      <c r="N32" t="n">
        <v>8408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128</v>
      </c>
      <c r="C33" t="n">
        <v>128</v>
      </c>
      <c r="D33" t="n">
        <v>0</v>
      </c>
      <c r="E33" t="n">
        <v>547</v>
      </c>
      <c r="F33" t="n">
        <v>0</v>
      </c>
      <c r="G33" t="n">
        <v>128</v>
      </c>
      <c r="H33" t="n">
        <v>128</v>
      </c>
      <c r="I33" t="n">
        <v>419</v>
      </c>
      <c r="J33" t="n">
        <v>0</v>
      </c>
      <c r="K33" t="n">
        <v>104.75</v>
      </c>
      <c r="L33" t="n">
        <v>0</v>
      </c>
      <c r="M33" t="n">
        <v>104.75</v>
      </c>
      <c r="N33" t="n">
        <v>8512.75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107</v>
      </c>
      <c r="C34" t="n">
        <v>107</v>
      </c>
      <c r="D34" t="n">
        <v>0</v>
      </c>
      <c r="E34" t="n">
        <v>419</v>
      </c>
      <c r="F34" t="n">
        <v>0</v>
      </c>
      <c r="G34" t="n">
        <v>107</v>
      </c>
      <c r="H34" t="n">
        <v>107</v>
      </c>
      <c r="I34" t="n">
        <v>312</v>
      </c>
      <c r="J34" t="n">
        <v>0</v>
      </c>
      <c r="K34" t="n">
        <v>78</v>
      </c>
      <c r="L34" t="n">
        <v>0</v>
      </c>
      <c r="M34" t="n">
        <v>78</v>
      </c>
      <c r="N34" t="n">
        <v>8590.75</v>
      </c>
      <c r="P34" t="n">
        <v>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123</v>
      </c>
      <c r="C35" t="n">
        <v>123</v>
      </c>
      <c r="D35" t="n">
        <v>0</v>
      </c>
      <c r="E35" t="n">
        <v>312</v>
      </c>
      <c r="F35" t="n">
        <v>0</v>
      </c>
      <c r="G35" t="n">
        <v>123</v>
      </c>
      <c r="H35" t="n">
        <v>123</v>
      </c>
      <c r="I35" t="n">
        <v>189</v>
      </c>
      <c r="J35" t="n">
        <v>0</v>
      </c>
      <c r="K35" t="n">
        <v>47.25</v>
      </c>
      <c r="L35" t="n">
        <v>0</v>
      </c>
      <c r="M35" t="n">
        <v>47.25</v>
      </c>
      <c r="N35" t="n">
        <v>8638</v>
      </c>
      <c r="P35" t="n">
        <v>211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67</v>
      </c>
      <c r="C36" t="n">
        <v>67</v>
      </c>
      <c r="D36" t="n">
        <v>0</v>
      </c>
      <c r="E36" t="n">
        <v>189</v>
      </c>
      <c r="F36" t="n">
        <v>0</v>
      </c>
      <c r="G36" t="n">
        <v>67</v>
      </c>
      <c r="H36" t="n">
        <v>67</v>
      </c>
      <c r="I36" t="n">
        <v>122</v>
      </c>
      <c r="J36" t="n">
        <v>0</v>
      </c>
      <c r="K36" t="n">
        <v>30.5</v>
      </c>
      <c r="L36" t="n">
        <v>0</v>
      </c>
      <c r="M36" t="n">
        <v>30.5</v>
      </c>
      <c r="N36" t="n">
        <v>8668.5</v>
      </c>
      <c r="P36" t="n">
        <v>278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200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291</v>
      </c>
      <c r="C4" t="n">
        <v>291</v>
      </c>
      <c r="D4" t="n">
        <v>0</v>
      </c>
      <c r="E4" t="n">
        <v>200</v>
      </c>
      <c r="F4" t="n">
        <v>0</v>
      </c>
      <c r="G4" t="n">
        <v>291</v>
      </c>
      <c r="H4" t="n">
        <v>200</v>
      </c>
      <c r="I4" t="n">
        <v>0</v>
      </c>
      <c r="J4" t="n">
        <v>91</v>
      </c>
      <c r="K4" t="n">
        <v>0</v>
      </c>
      <c r="L4" t="n">
        <v>91</v>
      </c>
      <c r="M4" t="n">
        <v>91</v>
      </c>
      <c r="N4" t="n">
        <v>178.5</v>
      </c>
      <c r="P4" t="n">
        <v>491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430</v>
      </c>
      <c r="C5" t="n">
        <v>430</v>
      </c>
      <c r="D5" t="n">
        <v>0</v>
      </c>
      <c r="E5" t="n">
        <v>0</v>
      </c>
      <c r="F5" t="n">
        <v>91</v>
      </c>
      <c r="G5" t="n">
        <v>521</v>
      </c>
      <c r="H5" t="n">
        <v>0</v>
      </c>
      <c r="I5" t="n">
        <v>0</v>
      </c>
      <c r="J5" t="n">
        <v>521</v>
      </c>
      <c r="K5" t="n">
        <v>0</v>
      </c>
      <c r="L5" t="n">
        <v>521</v>
      </c>
      <c r="M5" t="n">
        <v>521</v>
      </c>
      <c r="N5" t="n">
        <v>699.5</v>
      </c>
      <c r="P5" t="n">
        <v>721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539</v>
      </c>
      <c r="C6" t="n">
        <v>539</v>
      </c>
      <c r="D6" t="n">
        <v>200</v>
      </c>
      <c r="E6" t="n">
        <v>0</v>
      </c>
      <c r="F6" t="n">
        <v>521</v>
      </c>
      <c r="G6" t="n">
        <v>1060</v>
      </c>
      <c r="H6" t="n">
        <v>200</v>
      </c>
      <c r="I6" t="n">
        <v>0</v>
      </c>
      <c r="J6" t="n">
        <v>860</v>
      </c>
      <c r="K6" t="n">
        <v>0</v>
      </c>
      <c r="L6" t="n">
        <v>860</v>
      </c>
      <c r="M6" t="n">
        <v>860</v>
      </c>
      <c r="N6" t="n">
        <v>1559.5</v>
      </c>
      <c r="P6" t="n">
        <v>1260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466</v>
      </c>
      <c r="C7" t="n">
        <v>466</v>
      </c>
      <c r="D7" t="n">
        <v>0</v>
      </c>
      <c r="E7" t="n">
        <v>0</v>
      </c>
      <c r="F7" t="n">
        <v>860</v>
      </c>
      <c r="G7" t="n">
        <v>1326</v>
      </c>
      <c r="H7" t="n">
        <v>0</v>
      </c>
      <c r="I7" t="n">
        <v>0</v>
      </c>
      <c r="J7" t="n">
        <v>1326</v>
      </c>
      <c r="K7" t="n">
        <v>0</v>
      </c>
      <c r="L7" t="n">
        <v>1326</v>
      </c>
      <c r="M7" t="n">
        <v>1326</v>
      </c>
      <c r="N7" t="n">
        <v>2885.5</v>
      </c>
      <c r="P7" t="n">
        <v>1326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569</v>
      </c>
      <c r="C8" t="n">
        <v>569</v>
      </c>
      <c r="D8" t="n">
        <v>400</v>
      </c>
      <c r="E8" t="n">
        <v>0</v>
      </c>
      <c r="F8" t="n">
        <v>1326</v>
      </c>
      <c r="G8" t="n">
        <v>1895</v>
      </c>
      <c r="H8" t="n">
        <v>400</v>
      </c>
      <c r="I8" t="n">
        <v>0</v>
      </c>
      <c r="J8" t="n">
        <v>1495</v>
      </c>
      <c r="K8" t="n">
        <v>0</v>
      </c>
      <c r="L8" t="n">
        <v>1495</v>
      </c>
      <c r="M8" t="n">
        <v>1495</v>
      </c>
      <c r="N8" t="n">
        <v>4380.5</v>
      </c>
      <c r="P8" t="n">
        <v>1595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520</v>
      </c>
      <c r="C9" t="n">
        <v>520</v>
      </c>
      <c r="D9" t="n">
        <v>300</v>
      </c>
      <c r="E9" t="n">
        <v>0</v>
      </c>
      <c r="F9" t="n">
        <v>1495</v>
      </c>
      <c r="G9" t="n">
        <v>2015</v>
      </c>
      <c r="H9" t="n">
        <v>300</v>
      </c>
      <c r="I9" t="n">
        <v>0</v>
      </c>
      <c r="J9" t="n">
        <v>1715</v>
      </c>
      <c r="K9" t="n">
        <v>0</v>
      </c>
      <c r="L9" t="n">
        <v>1715</v>
      </c>
      <c r="M9" t="n">
        <v>1715</v>
      </c>
      <c r="N9" t="n">
        <v>6095.5</v>
      </c>
      <c r="P9" t="n">
        <v>1615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617</v>
      </c>
      <c r="C10" t="n">
        <v>617</v>
      </c>
      <c r="D10" t="n">
        <v>500</v>
      </c>
      <c r="E10" t="n">
        <v>0</v>
      </c>
      <c r="F10" t="n">
        <v>1715</v>
      </c>
      <c r="G10" t="n">
        <v>2332</v>
      </c>
      <c r="H10" t="n">
        <v>500</v>
      </c>
      <c r="I10" t="n">
        <v>0</v>
      </c>
      <c r="J10" t="n">
        <v>1832</v>
      </c>
      <c r="K10" t="n">
        <v>0</v>
      </c>
      <c r="L10" t="n">
        <v>1832</v>
      </c>
      <c r="M10" t="n">
        <v>1832</v>
      </c>
      <c r="N10" t="n">
        <v>7927.5</v>
      </c>
      <c r="P10" t="n">
        <v>1932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350</v>
      </c>
      <c r="C11" t="n">
        <v>350</v>
      </c>
      <c r="D11" t="n">
        <v>300</v>
      </c>
      <c r="E11" t="n">
        <v>0</v>
      </c>
      <c r="F11" t="n">
        <v>1832</v>
      </c>
      <c r="G11" t="n">
        <v>2182</v>
      </c>
      <c r="H11" t="n">
        <v>300</v>
      </c>
      <c r="I11" t="n">
        <v>0</v>
      </c>
      <c r="J11" t="n">
        <v>1882</v>
      </c>
      <c r="K11" t="n">
        <v>0</v>
      </c>
      <c r="L11" t="n">
        <v>1882</v>
      </c>
      <c r="M11" t="n">
        <v>1882</v>
      </c>
      <c r="N11" t="n">
        <v>9809.5</v>
      </c>
      <c r="P11" t="n">
        <v>1891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165</v>
      </c>
      <c r="C12" t="n">
        <v>165</v>
      </c>
      <c r="D12" t="n">
        <v>391</v>
      </c>
      <c r="E12" t="n">
        <v>0</v>
      </c>
      <c r="F12" t="n">
        <v>1882</v>
      </c>
      <c r="G12" t="n">
        <v>2047</v>
      </c>
      <c r="H12" t="n">
        <v>391</v>
      </c>
      <c r="I12" t="n">
        <v>0</v>
      </c>
      <c r="J12" t="n">
        <v>1656</v>
      </c>
      <c r="K12" t="n">
        <v>0</v>
      </c>
      <c r="L12" t="n">
        <v>1656</v>
      </c>
      <c r="M12" t="n">
        <v>1656</v>
      </c>
      <c r="N12" t="n">
        <v>11465.5</v>
      </c>
      <c r="P12" t="n">
        <v>1647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</v>
      </c>
      <c r="C13" t="n">
        <v>0</v>
      </c>
      <c r="D13" t="n">
        <v>409</v>
      </c>
      <c r="E13" t="n">
        <v>0</v>
      </c>
      <c r="F13" t="n">
        <v>1656</v>
      </c>
      <c r="G13" t="n">
        <v>1656</v>
      </c>
      <c r="H13" t="n">
        <v>409</v>
      </c>
      <c r="I13" t="n">
        <v>0</v>
      </c>
      <c r="J13" t="n">
        <v>1247</v>
      </c>
      <c r="K13" t="n">
        <v>0</v>
      </c>
      <c r="L13" t="n">
        <v>1247</v>
      </c>
      <c r="M13" t="n">
        <v>1247</v>
      </c>
      <c r="N13" t="n">
        <v>12712.5</v>
      </c>
      <c r="P13" t="n">
        <v>1256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</v>
      </c>
      <c r="C14" t="n">
        <v>0</v>
      </c>
      <c r="D14" t="n">
        <v>391</v>
      </c>
      <c r="E14" t="n">
        <v>0</v>
      </c>
      <c r="F14" t="n">
        <v>1247</v>
      </c>
      <c r="G14" t="n">
        <v>1247</v>
      </c>
      <c r="H14" t="n">
        <v>391</v>
      </c>
      <c r="I14" t="n">
        <v>0</v>
      </c>
      <c r="J14" t="n">
        <v>856</v>
      </c>
      <c r="K14" t="n">
        <v>0</v>
      </c>
      <c r="L14" t="n">
        <v>856</v>
      </c>
      <c r="M14" t="n">
        <v>856</v>
      </c>
      <c r="N14" t="n">
        <v>13568.5</v>
      </c>
      <c r="P14" t="n">
        <v>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612</v>
      </c>
      <c r="E15" t="n">
        <v>0</v>
      </c>
      <c r="F15" t="n">
        <v>856</v>
      </c>
      <c r="G15" t="n">
        <v>856</v>
      </c>
      <c r="H15" t="n">
        <v>612</v>
      </c>
      <c r="I15" t="n">
        <v>0</v>
      </c>
      <c r="J15" t="n">
        <v>244</v>
      </c>
      <c r="K15" t="n">
        <v>0</v>
      </c>
      <c r="L15" t="n">
        <v>244</v>
      </c>
      <c r="M15" t="n">
        <v>244</v>
      </c>
      <c r="N15" t="n">
        <v>13812.5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1572</v>
      </c>
      <c r="E16" t="n">
        <v>0</v>
      </c>
      <c r="F16" t="n">
        <v>244</v>
      </c>
      <c r="G16" t="n">
        <v>244</v>
      </c>
      <c r="H16" t="n">
        <v>244</v>
      </c>
      <c r="I16" t="n">
        <v>1328</v>
      </c>
      <c r="J16" t="n">
        <v>0</v>
      </c>
      <c r="K16" t="n">
        <v>332</v>
      </c>
      <c r="L16" t="n">
        <v>0</v>
      </c>
      <c r="M16" t="n">
        <v>332</v>
      </c>
      <c r="N16" t="n">
        <v>14144.5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2507</v>
      </c>
      <c r="E17" t="n">
        <v>1328</v>
      </c>
      <c r="F17" t="n">
        <v>0</v>
      </c>
      <c r="G17" t="n">
        <v>0</v>
      </c>
      <c r="H17" t="n">
        <v>0</v>
      </c>
      <c r="I17" t="n">
        <v>3835</v>
      </c>
      <c r="J17" t="n">
        <v>0</v>
      </c>
      <c r="K17" t="n">
        <v>958.75</v>
      </c>
      <c r="L17" t="n">
        <v>0</v>
      </c>
      <c r="M17" t="n">
        <v>958.75</v>
      </c>
      <c r="N17" t="n">
        <v>15103.25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3693</v>
      </c>
      <c r="E18" t="n">
        <v>3835</v>
      </c>
      <c r="F18" t="n">
        <v>0</v>
      </c>
      <c r="G18" t="n">
        <v>0</v>
      </c>
      <c r="H18" t="n">
        <v>0</v>
      </c>
      <c r="I18" t="n">
        <v>7528</v>
      </c>
      <c r="J18" t="n">
        <v>0</v>
      </c>
      <c r="K18" t="n">
        <v>1882</v>
      </c>
      <c r="L18" t="n">
        <v>0</v>
      </c>
      <c r="M18" t="n">
        <v>1882</v>
      </c>
      <c r="N18" t="n">
        <v>16985.25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3503</v>
      </c>
      <c r="E19" t="n">
        <v>7528</v>
      </c>
      <c r="F19" t="n">
        <v>0</v>
      </c>
      <c r="G19" t="n">
        <v>0</v>
      </c>
      <c r="H19" t="n">
        <v>0</v>
      </c>
      <c r="I19" t="n">
        <v>11031</v>
      </c>
      <c r="J19" t="n">
        <v>0</v>
      </c>
      <c r="K19" t="n">
        <v>2757.75</v>
      </c>
      <c r="L19" t="n">
        <v>0</v>
      </c>
      <c r="M19" t="n">
        <v>2757.75</v>
      </c>
      <c r="N19" t="n">
        <v>19743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11031</v>
      </c>
      <c r="F20" t="n">
        <v>0</v>
      </c>
      <c r="G20" t="n">
        <v>0</v>
      </c>
      <c r="H20" t="n">
        <v>0</v>
      </c>
      <c r="I20" t="n">
        <v>11031</v>
      </c>
      <c r="J20" t="n">
        <v>0</v>
      </c>
      <c r="K20" t="n">
        <v>2757.75</v>
      </c>
      <c r="L20" t="n">
        <v>0</v>
      </c>
      <c r="M20" t="n">
        <v>2757.75</v>
      </c>
      <c r="N20" t="n">
        <v>22500.75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11031</v>
      </c>
      <c r="F21" t="n">
        <v>0</v>
      </c>
      <c r="G21" t="n">
        <v>0</v>
      </c>
      <c r="H21" t="n">
        <v>0</v>
      </c>
      <c r="I21" t="n">
        <v>11031</v>
      </c>
      <c r="J21" t="n">
        <v>0</v>
      </c>
      <c r="K21" t="n">
        <v>2757.75</v>
      </c>
      <c r="L21" t="n">
        <v>0</v>
      </c>
      <c r="M21" t="n">
        <v>2757.75</v>
      </c>
      <c r="N21" t="n">
        <v>25258.5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11031</v>
      </c>
      <c r="F22" t="n">
        <v>0</v>
      </c>
      <c r="G22" t="n">
        <v>0</v>
      </c>
      <c r="H22" t="n">
        <v>0</v>
      </c>
      <c r="I22" t="n">
        <v>11031</v>
      </c>
      <c r="J22" t="n">
        <v>0</v>
      </c>
      <c r="K22" t="n">
        <v>2757.75</v>
      </c>
      <c r="L22" t="n">
        <v>0</v>
      </c>
      <c r="M22" t="n">
        <v>2757.75</v>
      </c>
      <c r="N22" t="n">
        <v>28016.25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11031</v>
      </c>
      <c r="F23" t="n">
        <v>0</v>
      </c>
      <c r="G23" t="n">
        <v>0</v>
      </c>
      <c r="H23" t="n">
        <v>0</v>
      </c>
      <c r="I23" t="n">
        <v>11031</v>
      </c>
      <c r="J23" t="n">
        <v>0</v>
      </c>
      <c r="K23" t="n">
        <v>2757.75</v>
      </c>
      <c r="L23" t="n">
        <v>0</v>
      </c>
      <c r="M23" t="n">
        <v>2757.75</v>
      </c>
      <c r="N23" t="n">
        <v>30774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11031</v>
      </c>
      <c r="F24" t="n">
        <v>0</v>
      </c>
      <c r="G24" t="n">
        <v>0</v>
      </c>
      <c r="H24" t="n">
        <v>0</v>
      </c>
      <c r="I24" t="n">
        <v>11031</v>
      </c>
      <c r="J24" t="n">
        <v>0</v>
      </c>
      <c r="K24" t="n">
        <v>2757.75</v>
      </c>
      <c r="L24" t="n">
        <v>0</v>
      </c>
      <c r="M24" t="n">
        <v>2757.75</v>
      </c>
      <c r="N24" t="n">
        <v>33531.75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11031</v>
      </c>
      <c r="F25" t="n">
        <v>0</v>
      </c>
      <c r="G25" t="n">
        <v>0</v>
      </c>
      <c r="H25" t="n">
        <v>0</v>
      </c>
      <c r="I25" t="n">
        <v>11031</v>
      </c>
      <c r="J25" t="n">
        <v>0</v>
      </c>
      <c r="K25" t="n">
        <v>2757.75</v>
      </c>
      <c r="L25" t="n">
        <v>0</v>
      </c>
      <c r="M25" t="n">
        <v>2757.75</v>
      </c>
      <c r="N25" t="n">
        <v>36289.5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11031</v>
      </c>
      <c r="F26" t="n">
        <v>0</v>
      </c>
      <c r="G26" t="n">
        <v>0</v>
      </c>
      <c r="H26" t="n">
        <v>0</v>
      </c>
      <c r="I26" t="n">
        <v>11031</v>
      </c>
      <c r="J26" t="n">
        <v>0</v>
      </c>
      <c r="K26" t="n">
        <v>2757.75</v>
      </c>
      <c r="L26" t="n">
        <v>0</v>
      </c>
      <c r="M26" t="n">
        <v>2757.75</v>
      </c>
      <c r="N26" t="n">
        <v>39047.25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11031</v>
      </c>
      <c r="F27" t="n">
        <v>0</v>
      </c>
      <c r="G27" t="n">
        <v>0</v>
      </c>
      <c r="H27" t="n">
        <v>0</v>
      </c>
      <c r="I27" t="n">
        <v>11031</v>
      </c>
      <c r="J27" t="n">
        <v>0</v>
      </c>
      <c r="K27" t="n">
        <v>2757.75</v>
      </c>
      <c r="L27" t="n">
        <v>0</v>
      </c>
      <c r="M27" t="n">
        <v>2757.75</v>
      </c>
      <c r="N27" t="n">
        <v>41805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11031</v>
      </c>
      <c r="F28" t="n">
        <v>0</v>
      </c>
      <c r="G28" t="n">
        <v>0</v>
      </c>
      <c r="H28" t="n">
        <v>0</v>
      </c>
      <c r="I28" t="n">
        <v>11031</v>
      </c>
      <c r="J28" t="n">
        <v>0</v>
      </c>
      <c r="K28" t="n">
        <v>2757.75</v>
      </c>
      <c r="L28" t="n">
        <v>0</v>
      </c>
      <c r="M28" t="n">
        <v>2757.75</v>
      </c>
      <c r="N28" t="n">
        <v>44562.75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11031</v>
      </c>
      <c r="F29" t="n">
        <v>0</v>
      </c>
      <c r="G29" t="n">
        <v>0</v>
      </c>
      <c r="H29" t="n">
        <v>0</v>
      </c>
      <c r="I29" t="n">
        <v>11031</v>
      </c>
      <c r="J29" t="n">
        <v>0</v>
      </c>
      <c r="K29" t="n">
        <v>2757.75</v>
      </c>
      <c r="L29" t="n">
        <v>0</v>
      </c>
      <c r="M29" t="n">
        <v>2757.75</v>
      </c>
      <c r="N29" t="n">
        <v>47320.5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11031</v>
      </c>
      <c r="F30" t="n">
        <v>0</v>
      </c>
      <c r="G30" t="n">
        <v>0</v>
      </c>
      <c r="H30" t="n">
        <v>0</v>
      </c>
      <c r="I30" t="n">
        <v>11031</v>
      </c>
      <c r="J30" t="n">
        <v>0</v>
      </c>
      <c r="K30" t="n">
        <v>2757.75</v>
      </c>
      <c r="L30" t="n">
        <v>0</v>
      </c>
      <c r="M30" t="n">
        <v>2757.75</v>
      </c>
      <c r="N30" t="n">
        <v>50078.25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11031</v>
      </c>
      <c r="F31" t="n">
        <v>0</v>
      </c>
      <c r="G31" t="n">
        <v>0</v>
      </c>
      <c r="H31" t="n">
        <v>0</v>
      </c>
      <c r="I31" t="n">
        <v>11031</v>
      </c>
      <c r="J31" t="n">
        <v>0</v>
      </c>
      <c r="K31" t="n">
        <v>2757.75</v>
      </c>
      <c r="L31" t="n">
        <v>0</v>
      </c>
      <c r="M31" t="n">
        <v>2757.75</v>
      </c>
      <c r="N31" t="n">
        <v>52836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11031</v>
      </c>
      <c r="F32" t="n">
        <v>0</v>
      </c>
      <c r="G32" t="n">
        <v>0</v>
      </c>
      <c r="H32" t="n">
        <v>0</v>
      </c>
      <c r="I32" t="n">
        <v>11031</v>
      </c>
      <c r="J32" t="n">
        <v>0</v>
      </c>
      <c r="K32" t="n">
        <v>2757.75</v>
      </c>
      <c r="L32" t="n">
        <v>0</v>
      </c>
      <c r="M32" t="n">
        <v>2757.75</v>
      </c>
      <c r="N32" t="n">
        <v>55593.75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11031</v>
      </c>
      <c r="F33" t="n">
        <v>0</v>
      </c>
      <c r="G33" t="n">
        <v>0</v>
      </c>
      <c r="H33" t="n">
        <v>0</v>
      </c>
      <c r="I33" t="n">
        <v>11031</v>
      </c>
      <c r="J33" t="n">
        <v>0</v>
      </c>
      <c r="K33" t="n">
        <v>2757.75</v>
      </c>
      <c r="L33" t="n">
        <v>0</v>
      </c>
      <c r="M33" t="n">
        <v>2757.75</v>
      </c>
      <c r="N33" t="n">
        <v>58351.5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11031</v>
      </c>
      <c r="F34" t="n">
        <v>0</v>
      </c>
      <c r="G34" t="n">
        <v>0</v>
      </c>
      <c r="H34" t="n">
        <v>0</v>
      </c>
      <c r="I34" t="n">
        <v>11031</v>
      </c>
      <c r="J34" t="n">
        <v>0</v>
      </c>
      <c r="K34" t="n">
        <v>2757.75</v>
      </c>
      <c r="L34" t="n">
        <v>0</v>
      </c>
      <c r="M34" t="n">
        <v>2757.75</v>
      </c>
      <c r="N34" t="n">
        <v>61109.25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11031</v>
      </c>
      <c r="F35" t="n">
        <v>0</v>
      </c>
      <c r="G35" t="n">
        <v>0</v>
      </c>
      <c r="H35" t="n">
        <v>0</v>
      </c>
      <c r="I35" t="n">
        <v>11031</v>
      </c>
      <c r="J35" t="n">
        <v>0</v>
      </c>
      <c r="K35" t="n">
        <v>2757.75</v>
      </c>
      <c r="L35" t="n">
        <v>0</v>
      </c>
      <c r="M35" t="n">
        <v>2757.75</v>
      </c>
      <c r="N35" t="n">
        <v>63867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88</v>
      </c>
      <c r="C36" t="n">
        <v>88</v>
      </c>
      <c r="D36" t="n">
        <v>0</v>
      </c>
      <c r="E36" t="n">
        <v>11031</v>
      </c>
      <c r="F36" t="n">
        <v>0</v>
      </c>
      <c r="G36" t="n">
        <v>88</v>
      </c>
      <c r="H36" t="n">
        <v>88</v>
      </c>
      <c r="I36" t="n">
        <v>10943</v>
      </c>
      <c r="J36" t="n">
        <v>0</v>
      </c>
      <c r="K36" t="n">
        <v>2735.75</v>
      </c>
      <c r="L36" t="n">
        <v>0</v>
      </c>
      <c r="M36" t="n">
        <v>2735.75</v>
      </c>
      <c r="N36" t="n">
        <v>66602.75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400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300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200</v>
      </c>
      <c r="C4" t="n">
        <v>200</v>
      </c>
      <c r="D4" t="n">
        <v>0</v>
      </c>
      <c r="E4" t="n">
        <v>200</v>
      </c>
      <c r="F4" t="n">
        <v>0</v>
      </c>
      <c r="G4" t="n">
        <v>200</v>
      </c>
      <c r="H4" t="n">
        <v>200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87.5</v>
      </c>
      <c r="P4" t="n">
        <v>500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200</v>
      </c>
      <c r="C5" t="n">
        <v>200</v>
      </c>
      <c r="D5" t="n">
        <v>0</v>
      </c>
      <c r="E5" t="n">
        <v>0</v>
      </c>
      <c r="F5" t="n">
        <v>0</v>
      </c>
      <c r="G5" t="n">
        <v>200</v>
      </c>
      <c r="H5" t="n">
        <v>0</v>
      </c>
      <c r="I5" t="n">
        <v>0</v>
      </c>
      <c r="J5" t="n">
        <v>200</v>
      </c>
      <c r="K5" t="n">
        <v>0</v>
      </c>
      <c r="L5" t="n">
        <v>200</v>
      </c>
      <c r="M5" t="n">
        <v>200</v>
      </c>
      <c r="N5" t="n">
        <v>287.5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491</v>
      </c>
      <c r="C6" t="n">
        <v>491</v>
      </c>
      <c r="D6" t="n">
        <v>400</v>
      </c>
      <c r="E6" t="n">
        <v>0</v>
      </c>
      <c r="F6" t="n">
        <v>200</v>
      </c>
      <c r="G6" t="n">
        <v>691</v>
      </c>
      <c r="H6" t="n">
        <v>400</v>
      </c>
      <c r="I6" t="n">
        <v>0</v>
      </c>
      <c r="J6" t="n">
        <v>291</v>
      </c>
      <c r="K6" t="n">
        <v>0</v>
      </c>
      <c r="L6" t="n">
        <v>291</v>
      </c>
      <c r="M6" t="n">
        <v>291</v>
      </c>
      <c r="N6" t="n">
        <v>578.5</v>
      </c>
      <c r="P6" t="n">
        <v>391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721</v>
      </c>
      <c r="C7" t="n">
        <v>721</v>
      </c>
      <c r="D7" t="n">
        <v>300</v>
      </c>
      <c r="E7" t="n">
        <v>0</v>
      </c>
      <c r="F7" t="n">
        <v>291</v>
      </c>
      <c r="G7" t="n">
        <v>1012</v>
      </c>
      <c r="H7" t="n">
        <v>300</v>
      </c>
      <c r="I7" t="n">
        <v>0</v>
      </c>
      <c r="J7" t="n">
        <v>712</v>
      </c>
      <c r="K7" t="n">
        <v>0</v>
      </c>
      <c r="L7" t="n">
        <v>712</v>
      </c>
      <c r="M7" t="n">
        <v>712</v>
      </c>
      <c r="N7" t="n">
        <v>1290.5</v>
      </c>
      <c r="P7" t="n">
        <v>612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1260</v>
      </c>
      <c r="C8" t="n">
        <v>1260</v>
      </c>
      <c r="D8" t="n">
        <v>500</v>
      </c>
      <c r="E8" t="n">
        <v>0</v>
      </c>
      <c r="F8" t="n">
        <v>712</v>
      </c>
      <c r="G8" t="n">
        <v>1972</v>
      </c>
      <c r="H8" t="n">
        <v>500</v>
      </c>
      <c r="I8" t="n">
        <v>0</v>
      </c>
      <c r="J8" t="n">
        <v>1472</v>
      </c>
      <c r="K8" t="n">
        <v>0</v>
      </c>
      <c r="L8" t="n">
        <v>1472</v>
      </c>
      <c r="M8" t="n">
        <v>1472</v>
      </c>
      <c r="N8" t="n">
        <v>2762.5</v>
      </c>
      <c r="P8" t="n">
        <v>1572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1326</v>
      </c>
      <c r="C9" t="n">
        <v>1326</v>
      </c>
      <c r="D9" t="n">
        <v>300</v>
      </c>
      <c r="E9" t="n">
        <v>0</v>
      </c>
      <c r="F9" t="n">
        <v>1472</v>
      </c>
      <c r="G9" t="n">
        <v>2798</v>
      </c>
      <c r="H9" t="n">
        <v>300</v>
      </c>
      <c r="I9" t="n">
        <v>0</v>
      </c>
      <c r="J9" t="n">
        <v>2498</v>
      </c>
      <c r="K9" t="n">
        <v>0</v>
      </c>
      <c r="L9" t="n">
        <v>2498</v>
      </c>
      <c r="M9" t="n">
        <v>2498</v>
      </c>
      <c r="N9" t="n">
        <v>5260.5</v>
      </c>
      <c r="P9" t="n">
        <v>2507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1595</v>
      </c>
      <c r="C10" t="n">
        <v>1595</v>
      </c>
      <c r="D10" t="n">
        <v>391</v>
      </c>
      <c r="E10" t="n">
        <v>0</v>
      </c>
      <c r="F10" t="n">
        <v>2498</v>
      </c>
      <c r="G10" t="n">
        <v>4093</v>
      </c>
      <c r="H10" t="n">
        <v>391</v>
      </c>
      <c r="I10" t="n">
        <v>0</v>
      </c>
      <c r="J10" t="n">
        <v>3702</v>
      </c>
      <c r="K10" t="n">
        <v>0</v>
      </c>
      <c r="L10" t="n">
        <v>3702</v>
      </c>
      <c r="M10" t="n">
        <v>3702</v>
      </c>
      <c r="N10" t="n">
        <v>8962.5</v>
      </c>
      <c r="P10" t="n">
        <v>3693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1615</v>
      </c>
      <c r="C11" t="n">
        <v>1615</v>
      </c>
      <c r="D11" t="n">
        <v>409</v>
      </c>
      <c r="E11" t="n">
        <v>0</v>
      </c>
      <c r="F11" t="n">
        <v>3702</v>
      </c>
      <c r="G11" t="n">
        <v>5317</v>
      </c>
      <c r="H11" t="n">
        <v>409</v>
      </c>
      <c r="I11" t="n">
        <v>0</v>
      </c>
      <c r="J11" t="n">
        <v>4908</v>
      </c>
      <c r="K11" t="n">
        <v>0</v>
      </c>
      <c r="L11" t="n">
        <v>4908</v>
      </c>
      <c r="M11" t="n">
        <v>4908</v>
      </c>
      <c r="N11" t="n">
        <v>13870.5</v>
      </c>
      <c r="P11" t="n">
        <v>4917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1932</v>
      </c>
      <c r="C12" t="n">
        <v>1932</v>
      </c>
      <c r="D12" t="n">
        <v>391</v>
      </c>
      <c r="E12" t="n">
        <v>0</v>
      </c>
      <c r="F12" t="n">
        <v>4908</v>
      </c>
      <c r="G12" t="n">
        <v>6840</v>
      </c>
      <c r="H12" t="n">
        <v>391</v>
      </c>
      <c r="I12" t="n">
        <v>0</v>
      </c>
      <c r="J12" t="n">
        <v>6449</v>
      </c>
      <c r="K12" t="n">
        <v>0</v>
      </c>
      <c r="L12" t="n">
        <v>6449</v>
      </c>
      <c r="M12" t="n">
        <v>6449</v>
      </c>
      <c r="N12" t="n">
        <v>20319.5</v>
      </c>
      <c r="P12" t="n">
        <v>6237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1891</v>
      </c>
      <c r="C13" t="n">
        <v>1891</v>
      </c>
      <c r="D13" t="n">
        <v>612</v>
      </c>
      <c r="E13" t="n">
        <v>0</v>
      </c>
      <c r="F13" t="n">
        <v>6449</v>
      </c>
      <c r="G13" t="n">
        <v>8340</v>
      </c>
      <c r="H13" t="n">
        <v>612</v>
      </c>
      <c r="I13" t="n">
        <v>0</v>
      </c>
      <c r="J13" t="n">
        <v>7728</v>
      </c>
      <c r="K13" t="n">
        <v>0</v>
      </c>
      <c r="L13" t="n">
        <v>7728</v>
      </c>
      <c r="M13" t="n">
        <v>7728</v>
      </c>
      <c r="N13" t="n">
        <v>28047.5</v>
      </c>
      <c r="P13" t="n">
        <v>6556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1647</v>
      </c>
      <c r="C14" t="n">
        <v>1647</v>
      </c>
      <c r="D14" t="n">
        <v>1572</v>
      </c>
      <c r="E14" t="n">
        <v>0</v>
      </c>
      <c r="F14" t="n">
        <v>7728</v>
      </c>
      <c r="G14" t="n">
        <v>9375</v>
      </c>
      <c r="H14" t="n">
        <v>1572</v>
      </c>
      <c r="I14" t="n">
        <v>0</v>
      </c>
      <c r="J14" t="n">
        <v>7803</v>
      </c>
      <c r="K14" t="n">
        <v>0</v>
      </c>
      <c r="L14" t="n">
        <v>7803</v>
      </c>
      <c r="M14" t="n">
        <v>7803</v>
      </c>
      <c r="N14" t="n">
        <v>35850.5</v>
      </c>
      <c r="P14" t="n">
        <v>5696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1256</v>
      </c>
      <c r="C15" t="n">
        <v>1256</v>
      </c>
      <c r="D15" t="n">
        <v>2507</v>
      </c>
      <c r="E15" t="n">
        <v>0</v>
      </c>
      <c r="F15" t="n">
        <v>7803</v>
      </c>
      <c r="G15" t="n">
        <v>9059</v>
      </c>
      <c r="H15" t="n">
        <v>2507</v>
      </c>
      <c r="I15" t="n">
        <v>0</v>
      </c>
      <c r="J15" t="n">
        <v>6552</v>
      </c>
      <c r="K15" t="n">
        <v>0</v>
      </c>
      <c r="L15" t="n">
        <v>6552</v>
      </c>
      <c r="M15" t="n">
        <v>6552</v>
      </c>
      <c r="N15" t="n">
        <v>42402.5</v>
      </c>
      <c r="P15" t="n">
        <v>3259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644</v>
      </c>
      <c r="C16" t="n">
        <v>644</v>
      </c>
      <c r="D16" t="n">
        <v>3693</v>
      </c>
      <c r="E16" t="n">
        <v>0</v>
      </c>
      <c r="F16" t="n">
        <v>6552</v>
      </c>
      <c r="G16" t="n">
        <v>7196</v>
      </c>
      <c r="H16" t="n">
        <v>3693</v>
      </c>
      <c r="I16" t="n">
        <v>0</v>
      </c>
      <c r="J16" t="n">
        <v>3503</v>
      </c>
      <c r="K16" t="n">
        <v>0</v>
      </c>
      <c r="L16" t="n">
        <v>3503</v>
      </c>
      <c r="M16" t="n">
        <v>3503</v>
      </c>
      <c r="N16" t="n">
        <v>45905.5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4917</v>
      </c>
      <c r="E17" t="n">
        <v>0</v>
      </c>
      <c r="F17" t="n">
        <v>3503</v>
      </c>
      <c r="G17" t="n">
        <v>3503</v>
      </c>
      <c r="H17" t="n">
        <v>3503</v>
      </c>
      <c r="I17" t="n">
        <v>1414</v>
      </c>
      <c r="J17" t="n">
        <v>0</v>
      </c>
      <c r="K17" t="n">
        <v>353.5</v>
      </c>
      <c r="L17" t="n">
        <v>0</v>
      </c>
      <c r="M17" t="n">
        <v>353.5</v>
      </c>
      <c r="N17" t="n">
        <v>46259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6237</v>
      </c>
      <c r="E18" t="n">
        <v>1414</v>
      </c>
      <c r="F18" t="n">
        <v>0</v>
      </c>
      <c r="G18" t="n">
        <v>0</v>
      </c>
      <c r="H18" t="n">
        <v>0</v>
      </c>
      <c r="I18" t="n">
        <v>7651</v>
      </c>
      <c r="J18" t="n">
        <v>0</v>
      </c>
      <c r="K18" t="n">
        <v>1912.75</v>
      </c>
      <c r="L18" t="n">
        <v>0</v>
      </c>
      <c r="M18" t="n">
        <v>1912.75</v>
      </c>
      <c r="N18" t="n">
        <v>48171.75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6556</v>
      </c>
      <c r="E19" t="n">
        <v>7651</v>
      </c>
      <c r="F19" t="n">
        <v>0</v>
      </c>
      <c r="G19" t="n">
        <v>0</v>
      </c>
      <c r="H19" t="n">
        <v>0</v>
      </c>
      <c r="I19" t="n">
        <v>14207</v>
      </c>
      <c r="J19" t="n">
        <v>0</v>
      </c>
      <c r="K19" t="n">
        <v>3551.75</v>
      </c>
      <c r="L19" t="n">
        <v>0</v>
      </c>
      <c r="M19" t="n">
        <v>3551.75</v>
      </c>
      <c r="N19" t="n">
        <v>51723.5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5696</v>
      </c>
      <c r="E20" t="n">
        <v>14207</v>
      </c>
      <c r="F20" t="n">
        <v>0</v>
      </c>
      <c r="G20" t="n">
        <v>0</v>
      </c>
      <c r="H20" t="n">
        <v>0</v>
      </c>
      <c r="I20" t="n">
        <v>19903</v>
      </c>
      <c r="J20" t="n">
        <v>0</v>
      </c>
      <c r="K20" t="n">
        <v>4975.75</v>
      </c>
      <c r="L20" t="n">
        <v>0</v>
      </c>
      <c r="M20" t="n">
        <v>4975.75</v>
      </c>
      <c r="N20" t="n">
        <v>56699.25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2459</v>
      </c>
      <c r="E21" t="n">
        <v>19903</v>
      </c>
      <c r="F21" t="n">
        <v>0</v>
      </c>
      <c r="G21" t="n">
        <v>0</v>
      </c>
      <c r="H21" t="n">
        <v>0</v>
      </c>
      <c r="I21" t="n">
        <v>22362</v>
      </c>
      <c r="J21" t="n">
        <v>0</v>
      </c>
      <c r="K21" t="n">
        <v>5590.5</v>
      </c>
      <c r="L21" t="n">
        <v>0</v>
      </c>
      <c r="M21" t="n">
        <v>5590.5</v>
      </c>
      <c r="N21" t="n">
        <v>62289.75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22362</v>
      </c>
      <c r="F22" t="n">
        <v>0</v>
      </c>
      <c r="G22" t="n">
        <v>0</v>
      </c>
      <c r="H22" t="n">
        <v>0</v>
      </c>
      <c r="I22" t="n">
        <v>22362</v>
      </c>
      <c r="J22" t="n">
        <v>0</v>
      </c>
      <c r="K22" t="n">
        <v>5590.5</v>
      </c>
      <c r="L22" t="n">
        <v>0</v>
      </c>
      <c r="M22" t="n">
        <v>5590.5</v>
      </c>
      <c r="N22" t="n">
        <v>67880.25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22362</v>
      </c>
      <c r="F23" t="n">
        <v>0</v>
      </c>
      <c r="G23" t="n">
        <v>0</v>
      </c>
      <c r="H23" t="n">
        <v>0</v>
      </c>
      <c r="I23" t="n">
        <v>22362</v>
      </c>
      <c r="J23" t="n">
        <v>0</v>
      </c>
      <c r="K23" t="n">
        <v>5590.5</v>
      </c>
      <c r="L23" t="n">
        <v>0</v>
      </c>
      <c r="M23" t="n">
        <v>5590.5</v>
      </c>
      <c r="N23" t="n">
        <v>73470.75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22362</v>
      </c>
      <c r="F24" t="n">
        <v>0</v>
      </c>
      <c r="G24" t="n">
        <v>0</v>
      </c>
      <c r="H24" t="n">
        <v>0</v>
      </c>
      <c r="I24" t="n">
        <v>22362</v>
      </c>
      <c r="J24" t="n">
        <v>0</v>
      </c>
      <c r="K24" t="n">
        <v>5590.5</v>
      </c>
      <c r="L24" t="n">
        <v>0</v>
      </c>
      <c r="M24" t="n">
        <v>5590.5</v>
      </c>
      <c r="N24" t="n">
        <v>79061.25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22362</v>
      </c>
      <c r="F25" t="n">
        <v>0</v>
      </c>
      <c r="G25" t="n">
        <v>0</v>
      </c>
      <c r="H25" t="n">
        <v>0</v>
      </c>
      <c r="I25" t="n">
        <v>22362</v>
      </c>
      <c r="J25" t="n">
        <v>0</v>
      </c>
      <c r="K25" t="n">
        <v>5590.5</v>
      </c>
      <c r="L25" t="n">
        <v>0</v>
      </c>
      <c r="M25" t="n">
        <v>5590.5</v>
      </c>
      <c r="N25" t="n">
        <v>84651.75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22362</v>
      </c>
      <c r="F26" t="n">
        <v>0</v>
      </c>
      <c r="G26" t="n">
        <v>0</v>
      </c>
      <c r="H26" t="n">
        <v>0</v>
      </c>
      <c r="I26" t="n">
        <v>22362</v>
      </c>
      <c r="J26" t="n">
        <v>0</v>
      </c>
      <c r="K26" t="n">
        <v>5590.5</v>
      </c>
      <c r="L26" t="n">
        <v>0</v>
      </c>
      <c r="M26" t="n">
        <v>5590.5</v>
      </c>
      <c r="N26" t="n">
        <v>90242.25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22362</v>
      </c>
      <c r="F27" t="n">
        <v>0</v>
      </c>
      <c r="G27" t="n">
        <v>0</v>
      </c>
      <c r="H27" t="n">
        <v>0</v>
      </c>
      <c r="I27" t="n">
        <v>22362</v>
      </c>
      <c r="J27" t="n">
        <v>0</v>
      </c>
      <c r="K27" t="n">
        <v>5590.5</v>
      </c>
      <c r="L27" t="n">
        <v>0</v>
      </c>
      <c r="M27" t="n">
        <v>5590.5</v>
      </c>
      <c r="N27" t="n">
        <v>95832.75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22362</v>
      </c>
      <c r="F28" t="n">
        <v>0</v>
      </c>
      <c r="G28" t="n">
        <v>0</v>
      </c>
      <c r="H28" t="n">
        <v>0</v>
      </c>
      <c r="I28" t="n">
        <v>22362</v>
      </c>
      <c r="J28" t="n">
        <v>0</v>
      </c>
      <c r="K28" t="n">
        <v>5590.5</v>
      </c>
      <c r="L28" t="n">
        <v>0</v>
      </c>
      <c r="M28" t="n">
        <v>5590.5</v>
      </c>
      <c r="N28" t="n">
        <v>101423.25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22362</v>
      </c>
      <c r="F29" t="n">
        <v>0</v>
      </c>
      <c r="G29" t="n">
        <v>0</v>
      </c>
      <c r="H29" t="n">
        <v>0</v>
      </c>
      <c r="I29" t="n">
        <v>22362</v>
      </c>
      <c r="J29" t="n">
        <v>0</v>
      </c>
      <c r="K29" t="n">
        <v>5590.5</v>
      </c>
      <c r="L29" t="n">
        <v>0</v>
      </c>
      <c r="M29" t="n">
        <v>5590.5</v>
      </c>
      <c r="N29" t="n">
        <v>107013.75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22362</v>
      </c>
      <c r="F30" t="n">
        <v>0</v>
      </c>
      <c r="G30" t="n">
        <v>0</v>
      </c>
      <c r="H30" t="n">
        <v>0</v>
      </c>
      <c r="I30" t="n">
        <v>22362</v>
      </c>
      <c r="J30" t="n">
        <v>0</v>
      </c>
      <c r="K30" t="n">
        <v>5590.5</v>
      </c>
      <c r="L30" t="n">
        <v>0</v>
      </c>
      <c r="M30" t="n">
        <v>5590.5</v>
      </c>
      <c r="N30" t="n">
        <v>112604.25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22362</v>
      </c>
      <c r="F31" t="n">
        <v>0</v>
      </c>
      <c r="G31" t="n">
        <v>0</v>
      </c>
      <c r="H31" t="n">
        <v>0</v>
      </c>
      <c r="I31" t="n">
        <v>22362</v>
      </c>
      <c r="J31" t="n">
        <v>0</v>
      </c>
      <c r="K31" t="n">
        <v>5590.5</v>
      </c>
      <c r="L31" t="n">
        <v>0</v>
      </c>
      <c r="M31" t="n">
        <v>5590.5</v>
      </c>
      <c r="N31" t="n">
        <v>118194.75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22362</v>
      </c>
      <c r="F32" t="n">
        <v>0</v>
      </c>
      <c r="G32" t="n">
        <v>0</v>
      </c>
      <c r="H32" t="n">
        <v>0</v>
      </c>
      <c r="I32" t="n">
        <v>22362</v>
      </c>
      <c r="J32" t="n">
        <v>0</v>
      </c>
      <c r="K32" t="n">
        <v>5590.5</v>
      </c>
      <c r="L32" t="n">
        <v>0</v>
      </c>
      <c r="M32" t="n">
        <v>5590.5</v>
      </c>
      <c r="N32" t="n">
        <v>123785.25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22362</v>
      </c>
      <c r="F33" t="n">
        <v>0</v>
      </c>
      <c r="G33" t="n">
        <v>0</v>
      </c>
      <c r="H33" t="n">
        <v>0</v>
      </c>
      <c r="I33" t="n">
        <v>22362</v>
      </c>
      <c r="J33" t="n">
        <v>0</v>
      </c>
      <c r="K33" t="n">
        <v>5590.5</v>
      </c>
      <c r="L33" t="n">
        <v>0</v>
      </c>
      <c r="M33" t="n">
        <v>5590.5</v>
      </c>
      <c r="N33" t="n">
        <v>129375.75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22362</v>
      </c>
      <c r="F34" t="n">
        <v>0</v>
      </c>
      <c r="G34" t="n">
        <v>0</v>
      </c>
      <c r="H34" t="n">
        <v>0</v>
      </c>
      <c r="I34" t="n">
        <v>22362</v>
      </c>
      <c r="J34" t="n">
        <v>0</v>
      </c>
      <c r="K34" t="n">
        <v>5590.5</v>
      </c>
      <c r="L34" t="n">
        <v>0</v>
      </c>
      <c r="M34" t="n">
        <v>5590.5</v>
      </c>
      <c r="N34" t="n">
        <v>134966.25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22362</v>
      </c>
      <c r="F35" t="n">
        <v>0</v>
      </c>
      <c r="G35" t="n">
        <v>0</v>
      </c>
      <c r="H35" t="n">
        <v>0</v>
      </c>
      <c r="I35" t="n">
        <v>22362</v>
      </c>
      <c r="J35" t="n">
        <v>0</v>
      </c>
      <c r="K35" t="n">
        <v>5590.5</v>
      </c>
      <c r="L35" t="n">
        <v>0</v>
      </c>
      <c r="M35" t="n">
        <v>5590.5</v>
      </c>
      <c r="N35" t="n">
        <v>140556.75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22362</v>
      </c>
      <c r="F36" t="n">
        <v>0</v>
      </c>
      <c r="G36" t="n">
        <v>0</v>
      </c>
      <c r="H36" t="n">
        <v>0</v>
      </c>
      <c r="I36" t="n">
        <v>22362</v>
      </c>
      <c r="J36" t="n">
        <v>0</v>
      </c>
      <c r="K36" t="n">
        <v>5590.5</v>
      </c>
      <c r="L36" t="n">
        <v>0</v>
      </c>
      <c r="M36" t="n">
        <v>5590.5</v>
      </c>
      <c r="N36" t="n">
        <v>146147.25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600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400</v>
      </c>
      <c r="C4" t="n">
        <v>400</v>
      </c>
      <c r="D4" t="n">
        <v>600</v>
      </c>
      <c r="E4" t="n">
        <v>200</v>
      </c>
      <c r="F4" t="n">
        <v>0</v>
      </c>
      <c r="G4" t="n">
        <v>400</v>
      </c>
      <c r="H4" t="n">
        <v>400</v>
      </c>
      <c r="I4" t="n">
        <v>400</v>
      </c>
      <c r="J4" t="n">
        <v>0</v>
      </c>
      <c r="K4" t="n">
        <v>100</v>
      </c>
      <c r="L4" t="n">
        <v>0</v>
      </c>
      <c r="M4" t="n">
        <v>100</v>
      </c>
      <c r="N4" t="n">
        <v>187.5</v>
      </c>
      <c r="P4" t="n">
        <v>400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300</v>
      </c>
      <c r="C5" t="n">
        <v>300</v>
      </c>
      <c r="D5" t="n">
        <v>0</v>
      </c>
      <c r="E5" t="n">
        <v>400</v>
      </c>
      <c r="F5" t="n">
        <v>0</v>
      </c>
      <c r="G5" t="n">
        <v>300</v>
      </c>
      <c r="H5" t="n">
        <v>300</v>
      </c>
      <c r="I5" t="n">
        <v>100</v>
      </c>
      <c r="J5" t="n">
        <v>0</v>
      </c>
      <c r="K5" t="n">
        <v>25</v>
      </c>
      <c r="L5" t="n">
        <v>0</v>
      </c>
      <c r="M5" t="n">
        <v>25</v>
      </c>
      <c r="N5" t="n">
        <v>212.5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500</v>
      </c>
      <c r="C6" t="n">
        <v>500</v>
      </c>
      <c r="D6" t="n">
        <v>400</v>
      </c>
      <c r="E6" t="n">
        <v>100</v>
      </c>
      <c r="F6" t="n">
        <v>0</v>
      </c>
      <c r="G6" t="n">
        <v>500</v>
      </c>
      <c r="H6" t="n">
        <v>500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212.5</v>
      </c>
      <c r="P6" t="n">
        <v>500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300</v>
      </c>
      <c r="E7" t="n">
        <v>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212.5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391</v>
      </c>
      <c r="C8" t="n">
        <v>391</v>
      </c>
      <c r="D8" t="n">
        <v>500</v>
      </c>
      <c r="E8" t="n">
        <v>0</v>
      </c>
      <c r="F8" t="n">
        <v>0</v>
      </c>
      <c r="G8" t="n">
        <v>391</v>
      </c>
      <c r="H8" t="n">
        <v>391</v>
      </c>
      <c r="I8" t="n">
        <v>109</v>
      </c>
      <c r="J8" t="n">
        <v>0</v>
      </c>
      <c r="K8" t="n">
        <v>27.25</v>
      </c>
      <c r="L8" t="n">
        <v>0</v>
      </c>
      <c r="M8" t="n">
        <v>27.25</v>
      </c>
      <c r="N8" t="n">
        <v>239.75</v>
      </c>
      <c r="P8" t="n">
        <v>391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612</v>
      </c>
      <c r="C9" t="n">
        <v>612</v>
      </c>
      <c r="D9" t="n">
        <v>300</v>
      </c>
      <c r="E9" t="n">
        <v>109</v>
      </c>
      <c r="F9" t="n">
        <v>0</v>
      </c>
      <c r="G9" t="n">
        <v>612</v>
      </c>
      <c r="H9" t="n">
        <v>409</v>
      </c>
      <c r="I9" t="n">
        <v>0</v>
      </c>
      <c r="J9" t="n">
        <v>203</v>
      </c>
      <c r="K9" t="n">
        <v>0</v>
      </c>
      <c r="L9" t="n">
        <v>203</v>
      </c>
      <c r="M9" t="n">
        <v>203</v>
      </c>
      <c r="N9" t="n">
        <v>442.75</v>
      </c>
      <c r="P9" t="n">
        <v>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1572</v>
      </c>
      <c r="C10" t="n">
        <v>1572</v>
      </c>
      <c r="D10" t="n">
        <v>391</v>
      </c>
      <c r="E10" t="n">
        <v>0</v>
      </c>
      <c r="F10" t="n">
        <v>203</v>
      </c>
      <c r="G10" t="n">
        <v>1775</v>
      </c>
      <c r="H10" t="n">
        <v>391</v>
      </c>
      <c r="I10" t="n">
        <v>0</v>
      </c>
      <c r="J10" t="n">
        <v>1384</v>
      </c>
      <c r="K10" t="n">
        <v>0</v>
      </c>
      <c r="L10" t="n">
        <v>1384</v>
      </c>
      <c r="M10" t="n">
        <v>1384</v>
      </c>
      <c r="N10" t="n">
        <v>1826.75</v>
      </c>
      <c r="P10" t="n">
        <v>1572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2507</v>
      </c>
      <c r="C11" t="n">
        <v>2507</v>
      </c>
      <c r="D11" t="n">
        <v>612</v>
      </c>
      <c r="E11" t="n">
        <v>0</v>
      </c>
      <c r="F11" t="n">
        <v>1384</v>
      </c>
      <c r="G11" t="n">
        <v>3891</v>
      </c>
      <c r="H11" t="n">
        <v>612</v>
      </c>
      <c r="I11" t="n">
        <v>0</v>
      </c>
      <c r="J11" t="n">
        <v>3279</v>
      </c>
      <c r="K11" t="n">
        <v>0</v>
      </c>
      <c r="L11" t="n">
        <v>3279</v>
      </c>
      <c r="M11" t="n">
        <v>3279</v>
      </c>
      <c r="N11" t="n">
        <v>5105.75</v>
      </c>
      <c r="P11" t="n">
        <v>2507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3693</v>
      </c>
      <c r="C12" t="n">
        <v>3693</v>
      </c>
      <c r="D12" t="n">
        <v>1572</v>
      </c>
      <c r="E12" t="n">
        <v>0</v>
      </c>
      <c r="F12" t="n">
        <v>3279</v>
      </c>
      <c r="G12" t="n">
        <v>6972</v>
      </c>
      <c r="H12" t="n">
        <v>1572</v>
      </c>
      <c r="I12" t="n">
        <v>0</v>
      </c>
      <c r="J12" t="n">
        <v>5400</v>
      </c>
      <c r="K12" t="n">
        <v>0</v>
      </c>
      <c r="L12" t="n">
        <v>5400</v>
      </c>
      <c r="M12" t="n">
        <v>5400</v>
      </c>
      <c r="N12" t="n">
        <v>10505.75</v>
      </c>
      <c r="P12" t="n">
        <v>3693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4917</v>
      </c>
      <c r="C13" t="n">
        <v>4917</v>
      </c>
      <c r="D13" t="n">
        <v>2507</v>
      </c>
      <c r="E13" t="n">
        <v>0</v>
      </c>
      <c r="F13" t="n">
        <v>5400</v>
      </c>
      <c r="G13" t="n">
        <v>10317</v>
      </c>
      <c r="H13" t="n">
        <v>2507</v>
      </c>
      <c r="I13" t="n">
        <v>0</v>
      </c>
      <c r="J13" t="n">
        <v>7810</v>
      </c>
      <c r="K13" t="n">
        <v>0</v>
      </c>
      <c r="L13" t="n">
        <v>7810</v>
      </c>
      <c r="M13" t="n">
        <v>7810</v>
      </c>
      <c r="N13" t="n">
        <v>18315.75</v>
      </c>
      <c r="P13" t="n">
        <v>4917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6237</v>
      </c>
      <c r="C14" t="n">
        <v>6237</v>
      </c>
      <c r="D14" t="n">
        <v>3693</v>
      </c>
      <c r="E14" t="n">
        <v>0</v>
      </c>
      <c r="F14" t="n">
        <v>7810</v>
      </c>
      <c r="G14" t="n">
        <v>14047</v>
      </c>
      <c r="H14" t="n">
        <v>3693</v>
      </c>
      <c r="I14" t="n">
        <v>0</v>
      </c>
      <c r="J14" t="n">
        <v>10354</v>
      </c>
      <c r="K14" t="n">
        <v>0</v>
      </c>
      <c r="L14" t="n">
        <v>10354</v>
      </c>
      <c r="M14" t="n">
        <v>10354</v>
      </c>
      <c r="N14" t="n">
        <v>28669.75</v>
      </c>
      <c r="P14" t="n">
        <v>6237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6556</v>
      </c>
      <c r="C15" t="n">
        <v>6556</v>
      </c>
      <c r="D15" t="n">
        <v>4917</v>
      </c>
      <c r="E15" t="n">
        <v>0</v>
      </c>
      <c r="F15" t="n">
        <v>10354</v>
      </c>
      <c r="G15" t="n">
        <v>16910</v>
      </c>
      <c r="H15" t="n">
        <v>4917</v>
      </c>
      <c r="I15" t="n">
        <v>0</v>
      </c>
      <c r="J15" t="n">
        <v>11993</v>
      </c>
      <c r="K15" t="n">
        <v>0</v>
      </c>
      <c r="L15" t="n">
        <v>11993</v>
      </c>
      <c r="M15" t="n">
        <v>11993</v>
      </c>
      <c r="N15" t="n">
        <v>40662.75</v>
      </c>
      <c r="P15" t="n">
        <v>6556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5696</v>
      </c>
      <c r="C16" t="n">
        <v>5696</v>
      </c>
      <c r="D16" t="n">
        <v>6237</v>
      </c>
      <c r="E16" t="n">
        <v>0</v>
      </c>
      <c r="F16" t="n">
        <v>11993</v>
      </c>
      <c r="G16" t="n">
        <v>17689</v>
      </c>
      <c r="H16" t="n">
        <v>6237</v>
      </c>
      <c r="I16" t="n">
        <v>0</v>
      </c>
      <c r="J16" t="n">
        <v>11452</v>
      </c>
      <c r="K16" t="n">
        <v>0</v>
      </c>
      <c r="L16" t="n">
        <v>11452</v>
      </c>
      <c r="M16" t="n">
        <v>11452</v>
      </c>
      <c r="N16" t="n">
        <v>52114.75</v>
      </c>
      <c r="P16" t="n">
        <v>5696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3259</v>
      </c>
      <c r="C17" t="n">
        <v>3259</v>
      </c>
      <c r="D17" t="n">
        <v>6556</v>
      </c>
      <c r="E17" t="n">
        <v>0</v>
      </c>
      <c r="F17" t="n">
        <v>11452</v>
      </c>
      <c r="G17" t="n">
        <v>14711</v>
      </c>
      <c r="H17" t="n">
        <v>6556</v>
      </c>
      <c r="I17" t="n">
        <v>0</v>
      </c>
      <c r="J17" t="n">
        <v>8155</v>
      </c>
      <c r="K17" t="n">
        <v>0</v>
      </c>
      <c r="L17" t="n">
        <v>8155</v>
      </c>
      <c r="M17" t="n">
        <v>8155</v>
      </c>
      <c r="N17" t="n">
        <v>60269.75</v>
      </c>
      <c r="P17" t="n">
        <v>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5696</v>
      </c>
      <c r="E18" t="n">
        <v>0</v>
      </c>
      <c r="F18" t="n">
        <v>8155</v>
      </c>
      <c r="G18" t="n">
        <v>8155</v>
      </c>
      <c r="H18" t="n">
        <v>5696</v>
      </c>
      <c r="I18" t="n">
        <v>0</v>
      </c>
      <c r="J18" t="n">
        <v>2459</v>
      </c>
      <c r="K18" t="n">
        <v>0</v>
      </c>
      <c r="L18" t="n">
        <v>2459</v>
      </c>
      <c r="M18" t="n">
        <v>2459</v>
      </c>
      <c r="N18" t="n">
        <v>62728.75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2859</v>
      </c>
      <c r="E19" t="n">
        <v>0</v>
      </c>
      <c r="F19" t="n">
        <v>2459</v>
      </c>
      <c r="G19" t="n">
        <v>2459</v>
      </c>
      <c r="H19" t="n">
        <v>2459</v>
      </c>
      <c r="I19" t="n">
        <v>400</v>
      </c>
      <c r="J19" t="n">
        <v>0</v>
      </c>
      <c r="K19" t="n">
        <v>100</v>
      </c>
      <c r="L19" t="n">
        <v>0</v>
      </c>
      <c r="M19" t="n">
        <v>100</v>
      </c>
      <c r="N19" t="n">
        <v>62828.75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400</v>
      </c>
      <c r="F20" t="n">
        <v>0</v>
      </c>
      <c r="G20" t="n">
        <v>0</v>
      </c>
      <c r="H20" t="n">
        <v>0</v>
      </c>
      <c r="I20" t="n">
        <v>400</v>
      </c>
      <c r="J20" t="n">
        <v>0</v>
      </c>
      <c r="K20" t="n">
        <v>100</v>
      </c>
      <c r="L20" t="n">
        <v>0</v>
      </c>
      <c r="M20" t="n">
        <v>100</v>
      </c>
      <c r="N20" t="n">
        <v>62928.75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400</v>
      </c>
      <c r="F21" t="n">
        <v>0</v>
      </c>
      <c r="G21" t="n">
        <v>0</v>
      </c>
      <c r="H21" t="n">
        <v>0</v>
      </c>
      <c r="I21" t="n">
        <v>400</v>
      </c>
      <c r="J21" t="n">
        <v>0</v>
      </c>
      <c r="K21" t="n">
        <v>100</v>
      </c>
      <c r="L21" t="n">
        <v>0</v>
      </c>
      <c r="M21" t="n">
        <v>100</v>
      </c>
      <c r="N21" t="n">
        <v>63028.75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400</v>
      </c>
      <c r="F22" t="n">
        <v>0</v>
      </c>
      <c r="G22" t="n">
        <v>0</v>
      </c>
      <c r="H22" t="n">
        <v>0</v>
      </c>
      <c r="I22" t="n">
        <v>400</v>
      </c>
      <c r="J22" t="n">
        <v>0</v>
      </c>
      <c r="K22" t="n">
        <v>100</v>
      </c>
      <c r="L22" t="n">
        <v>0</v>
      </c>
      <c r="M22" t="n">
        <v>100</v>
      </c>
      <c r="N22" t="n">
        <v>63128.75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400</v>
      </c>
      <c r="F23" t="n">
        <v>0</v>
      </c>
      <c r="G23" t="n">
        <v>0</v>
      </c>
      <c r="H23" t="n">
        <v>0</v>
      </c>
      <c r="I23" t="n">
        <v>400</v>
      </c>
      <c r="J23" t="n">
        <v>0</v>
      </c>
      <c r="K23" t="n">
        <v>100</v>
      </c>
      <c r="L23" t="n">
        <v>0</v>
      </c>
      <c r="M23" t="n">
        <v>100</v>
      </c>
      <c r="N23" t="n">
        <v>63228.75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400</v>
      </c>
      <c r="F24" t="n">
        <v>0</v>
      </c>
      <c r="G24" t="n">
        <v>0</v>
      </c>
      <c r="H24" t="n">
        <v>0</v>
      </c>
      <c r="I24" t="n">
        <v>400</v>
      </c>
      <c r="J24" t="n">
        <v>0</v>
      </c>
      <c r="K24" t="n">
        <v>100</v>
      </c>
      <c r="L24" t="n">
        <v>0</v>
      </c>
      <c r="M24" t="n">
        <v>100</v>
      </c>
      <c r="N24" t="n">
        <v>63328.75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400</v>
      </c>
      <c r="F25" t="n">
        <v>0</v>
      </c>
      <c r="G25" t="n">
        <v>0</v>
      </c>
      <c r="H25" t="n">
        <v>0</v>
      </c>
      <c r="I25" t="n">
        <v>400</v>
      </c>
      <c r="J25" t="n">
        <v>0</v>
      </c>
      <c r="K25" t="n">
        <v>100</v>
      </c>
      <c r="L25" t="n">
        <v>0</v>
      </c>
      <c r="M25" t="n">
        <v>100</v>
      </c>
      <c r="N25" t="n">
        <v>63428.75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400</v>
      </c>
      <c r="F26" t="n">
        <v>0</v>
      </c>
      <c r="G26" t="n">
        <v>0</v>
      </c>
      <c r="H26" t="n">
        <v>0</v>
      </c>
      <c r="I26" t="n">
        <v>400</v>
      </c>
      <c r="J26" t="n">
        <v>0</v>
      </c>
      <c r="K26" t="n">
        <v>100</v>
      </c>
      <c r="L26" t="n">
        <v>0</v>
      </c>
      <c r="M26" t="n">
        <v>100</v>
      </c>
      <c r="N26" t="n">
        <v>63528.75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400</v>
      </c>
      <c r="F27" t="n">
        <v>0</v>
      </c>
      <c r="G27" t="n">
        <v>0</v>
      </c>
      <c r="H27" t="n">
        <v>0</v>
      </c>
      <c r="I27" t="n">
        <v>400</v>
      </c>
      <c r="J27" t="n">
        <v>0</v>
      </c>
      <c r="K27" t="n">
        <v>100</v>
      </c>
      <c r="L27" t="n">
        <v>0</v>
      </c>
      <c r="M27" t="n">
        <v>100</v>
      </c>
      <c r="N27" t="n">
        <v>63628.75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400</v>
      </c>
      <c r="F28" t="n">
        <v>0</v>
      </c>
      <c r="G28" t="n">
        <v>0</v>
      </c>
      <c r="H28" t="n">
        <v>0</v>
      </c>
      <c r="I28" t="n">
        <v>400</v>
      </c>
      <c r="J28" t="n">
        <v>0</v>
      </c>
      <c r="K28" t="n">
        <v>100</v>
      </c>
      <c r="L28" t="n">
        <v>0</v>
      </c>
      <c r="M28" t="n">
        <v>100</v>
      </c>
      <c r="N28" t="n">
        <v>63728.75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400</v>
      </c>
      <c r="F29" t="n">
        <v>0</v>
      </c>
      <c r="G29" t="n">
        <v>0</v>
      </c>
      <c r="H29" t="n">
        <v>0</v>
      </c>
      <c r="I29" t="n">
        <v>400</v>
      </c>
      <c r="J29" t="n">
        <v>0</v>
      </c>
      <c r="K29" t="n">
        <v>100</v>
      </c>
      <c r="L29" t="n">
        <v>0</v>
      </c>
      <c r="M29" t="n">
        <v>100</v>
      </c>
      <c r="N29" t="n">
        <v>63828.75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400</v>
      </c>
      <c r="F30" t="n">
        <v>0</v>
      </c>
      <c r="G30" t="n">
        <v>0</v>
      </c>
      <c r="H30" t="n">
        <v>0</v>
      </c>
      <c r="I30" t="n">
        <v>400</v>
      </c>
      <c r="J30" t="n">
        <v>0</v>
      </c>
      <c r="K30" t="n">
        <v>100</v>
      </c>
      <c r="L30" t="n">
        <v>0</v>
      </c>
      <c r="M30" t="n">
        <v>100</v>
      </c>
      <c r="N30" t="n">
        <v>63928.75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400</v>
      </c>
      <c r="F31" t="n">
        <v>0</v>
      </c>
      <c r="G31" t="n">
        <v>0</v>
      </c>
      <c r="H31" t="n">
        <v>0</v>
      </c>
      <c r="I31" t="n">
        <v>400</v>
      </c>
      <c r="J31" t="n">
        <v>0</v>
      </c>
      <c r="K31" t="n">
        <v>100</v>
      </c>
      <c r="L31" t="n">
        <v>0</v>
      </c>
      <c r="M31" t="n">
        <v>100</v>
      </c>
      <c r="N31" t="n">
        <v>64028.75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400</v>
      </c>
      <c r="F32" t="n">
        <v>0</v>
      </c>
      <c r="G32" t="n">
        <v>0</v>
      </c>
      <c r="H32" t="n">
        <v>0</v>
      </c>
      <c r="I32" t="n">
        <v>400</v>
      </c>
      <c r="J32" t="n">
        <v>0</v>
      </c>
      <c r="K32" t="n">
        <v>100</v>
      </c>
      <c r="L32" t="n">
        <v>0</v>
      </c>
      <c r="M32" t="n">
        <v>100</v>
      </c>
      <c r="N32" t="n">
        <v>64128.75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400</v>
      </c>
      <c r="F33" t="n">
        <v>0</v>
      </c>
      <c r="G33" t="n">
        <v>0</v>
      </c>
      <c r="H33" t="n">
        <v>0</v>
      </c>
      <c r="I33" t="n">
        <v>400</v>
      </c>
      <c r="J33" t="n">
        <v>0</v>
      </c>
      <c r="K33" t="n">
        <v>100</v>
      </c>
      <c r="L33" t="n">
        <v>0</v>
      </c>
      <c r="M33" t="n">
        <v>100</v>
      </c>
      <c r="N33" t="n">
        <v>64228.75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400</v>
      </c>
      <c r="F34" t="n">
        <v>0</v>
      </c>
      <c r="G34" t="n">
        <v>0</v>
      </c>
      <c r="H34" t="n">
        <v>0</v>
      </c>
      <c r="I34" t="n">
        <v>400</v>
      </c>
      <c r="J34" t="n">
        <v>0</v>
      </c>
      <c r="K34" t="n">
        <v>100</v>
      </c>
      <c r="L34" t="n">
        <v>0</v>
      </c>
      <c r="M34" t="n">
        <v>100</v>
      </c>
      <c r="N34" t="n">
        <v>64328.75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400</v>
      </c>
      <c r="F35" t="n">
        <v>0</v>
      </c>
      <c r="G35" t="n">
        <v>0</v>
      </c>
      <c r="H35" t="n">
        <v>0</v>
      </c>
      <c r="I35" t="n">
        <v>400</v>
      </c>
      <c r="J35" t="n">
        <v>0</v>
      </c>
      <c r="K35" t="n">
        <v>100</v>
      </c>
      <c r="L35" t="n">
        <v>0</v>
      </c>
      <c r="M35" t="n">
        <v>100</v>
      </c>
      <c r="N35" t="n">
        <v>64428.75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400</v>
      </c>
      <c r="F36" t="n">
        <v>0</v>
      </c>
      <c r="G36" t="n">
        <v>0</v>
      </c>
      <c r="H36" t="n">
        <v>0</v>
      </c>
      <c r="I36" t="n">
        <v>400</v>
      </c>
      <c r="J36" t="n">
        <v>0</v>
      </c>
      <c r="K36" t="n">
        <v>100</v>
      </c>
      <c r="L36" t="n">
        <v>0</v>
      </c>
      <c r="M36" t="n">
        <v>100</v>
      </c>
      <c r="N36" t="n">
        <v>64528.75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" t="inlineStr">
        <is>
          <t>Simulation - Scenario 1 - HighInv</t>
        </is>
      </c>
    </row>
    <row r="2">
      <c r="A2" s="4" t="inlineStr">
        <is>
          <t>Edit Inputs to change demand, costs, and policy parameters.</t>
        </is>
      </c>
    </row>
    <row r="3">
      <c r="A3" s="5" t="n"/>
      <c r="B3" s="5" t="inlineStr">
        <is>
          <t>Retailer</t>
        </is>
      </c>
      <c r="L3" s="5" t="inlineStr">
        <is>
          <t>Wholesaler</t>
        </is>
      </c>
      <c r="V3" s="5" t="inlineStr">
        <is>
          <t>Distributor</t>
        </is>
      </c>
      <c r="AF3" s="5" t="inlineStr">
        <is>
          <t>Factory</t>
        </is>
      </c>
      <c r="AP3" s="5" t="inlineStr">
        <is>
          <t>Total</t>
        </is>
      </c>
    </row>
    <row r="4">
      <c r="A4" s="1" t="n"/>
      <c r="B4" s="1" t="inlineStr">
        <is>
          <t>Incoming order</t>
        </is>
      </c>
      <c r="C4" s="1" t="inlineStr">
        <is>
          <t>Incoming shipment</t>
        </is>
      </c>
      <c r="D4" s="1" t="inlineStr">
        <is>
          <t>Outgoing shipment</t>
        </is>
      </c>
      <c r="E4" s="1" t="inlineStr">
        <is>
          <t>Inventory</t>
        </is>
      </c>
      <c r="F4" s="1" t="inlineStr">
        <is>
          <t>Backlog</t>
        </is>
      </c>
      <c r="G4" s="1" t="inlineStr">
        <is>
          <t>Order placed</t>
        </is>
      </c>
      <c r="H4" s="1" t="inlineStr">
        <is>
          <t>InvCost</t>
        </is>
      </c>
      <c r="I4" s="1" t="inlineStr">
        <is>
          <t>BackCost</t>
        </is>
      </c>
      <c r="J4" s="1" t="inlineStr">
        <is>
          <t>WeekCost</t>
        </is>
      </c>
      <c r="K4" s="1" t="inlineStr">
        <is>
          <t>Cumulative</t>
        </is>
      </c>
      <c r="L4" s="1" t="inlineStr">
        <is>
          <t>Incoming order</t>
        </is>
      </c>
      <c r="M4" s="1" t="inlineStr">
        <is>
          <t>Incoming shipment</t>
        </is>
      </c>
      <c r="N4" s="1" t="inlineStr">
        <is>
          <t>Outgoing shipment</t>
        </is>
      </c>
      <c r="O4" s="1" t="inlineStr">
        <is>
          <t>Inventory</t>
        </is>
      </c>
      <c r="P4" s="1" t="inlineStr">
        <is>
          <t>Backlog</t>
        </is>
      </c>
      <c r="Q4" s="1" t="inlineStr">
        <is>
          <t>Order placed</t>
        </is>
      </c>
      <c r="R4" s="1" t="inlineStr">
        <is>
          <t>InvCost</t>
        </is>
      </c>
      <c r="S4" s="1" t="inlineStr">
        <is>
          <t>BackCost</t>
        </is>
      </c>
      <c r="T4" s="1" t="inlineStr">
        <is>
          <t>WeekCost</t>
        </is>
      </c>
      <c r="U4" s="1" t="inlineStr">
        <is>
          <t>Cumulative</t>
        </is>
      </c>
      <c r="V4" s="1" t="inlineStr">
        <is>
          <t>Incoming order</t>
        </is>
      </c>
      <c r="W4" s="1" t="inlineStr">
        <is>
          <t>Incoming shipment</t>
        </is>
      </c>
      <c r="X4" s="1" t="inlineStr">
        <is>
          <t>Outgoing shipment</t>
        </is>
      </c>
      <c r="Y4" s="1" t="inlineStr">
        <is>
          <t>Inventory</t>
        </is>
      </c>
      <c r="Z4" s="1" t="inlineStr">
        <is>
          <t>Backlog</t>
        </is>
      </c>
      <c r="AA4" s="1" t="inlineStr">
        <is>
          <t>Order placed</t>
        </is>
      </c>
      <c r="AB4" s="1" t="inlineStr">
        <is>
          <t>InvCost</t>
        </is>
      </c>
      <c r="AC4" s="1" t="inlineStr">
        <is>
          <t>BackCost</t>
        </is>
      </c>
      <c r="AD4" s="1" t="inlineStr">
        <is>
          <t>WeekCost</t>
        </is>
      </c>
      <c r="AE4" s="1" t="inlineStr">
        <is>
          <t>Cumulative</t>
        </is>
      </c>
      <c r="AF4" s="1" t="inlineStr">
        <is>
          <t>Incoming order</t>
        </is>
      </c>
      <c r="AG4" s="1" t="inlineStr">
        <is>
          <t>Incoming shipment</t>
        </is>
      </c>
      <c r="AH4" s="1" t="inlineStr">
        <is>
          <t>Outgoing shipment</t>
        </is>
      </c>
      <c r="AI4" s="1" t="inlineStr">
        <is>
          <t>Inventory</t>
        </is>
      </c>
      <c r="AJ4" s="1" t="inlineStr">
        <is>
          <t>Backlog</t>
        </is>
      </c>
      <c r="AK4" s="1" t="inlineStr">
        <is>
          <t>Order placed</t>
        </is>
      </c>
      <c r="AL4" s="1" t="inlineStr">
        <is>
          <t>InvCost</t>
        </is>
      </c>
      <c r="AM4" s="1" t="inlineStr">
        <is>
          <t>BackCost</t>
        </is>
      </c>
      <c r="AN4" s="1" t="inlineStr">
        <is>
          <t>WeekCost</t>
        </is>
      </c>
      <c r="AO4" s="1" t="inlineStr">
        <is>
          <t>Cumulative</t>
        </is>
      </c>
      <c r="AP4" s="1" t="inlineStr">
        <is>
          <t>TotInvCost</t>
        </is>
      </c>
      <c r="AQ4" s="1" t="inlineStr">
        <is>
          <t>TotBackCost</t>
        </is>
      </c>
      <c r="AR4" s="1" t="inlineStr">
        <is>
          <t>TotWeekCost</t>
        </is>
      </c>
      <c r="AS4" s="1" t="inlineStr">
        <is>
          <t>CumCost</t>
        </is>
      </c>
    </row>
    <row r="5">
      <c r="A5" s="2" t="n">
        <v>1</v>
      </c>
      <c r="B5" s="2">
        <f>CHOOSE(Inputs!$B$12,'S1_D1_Retailer'!C2,'S1_D2_Retailer'!C2,'S1_D3_Retailer'!C2)</f>
        <v/>
      </c>
      <c r="C5" s="2">
        <f>CHOOSE(Inputs!$B$12,'S1_D1_Retailer'!D2,'S1_D2_Retailer'!D2,'S1_D3_Retailer'!D2)</f>
        <v/>
      </c>
      <c r="D5" s="2">
        <f>CHOOSE(Inputs!$B$12,'S1_D1_Retailer'!H2,'S1_D2_Retailer'!H2,'S1_D3_Retailer'!H2)</f>
        <v/>
      </c>
      <c r="E5" s="2">
        <f>CHOOSE(Inputs!$B$12,'S1_D1_Retailer'!I2,'S1_D2_Retailer'!I2,'S1_D3_Retailer'!I2)</f>
        <v/>
      </c>
      <c r="F5" s="2">
        <f>CHOOSE(Inputs!$B$12,'S1_D1_Retailer'!J2,'S1_D2_Retailer'!J2,'S1_D3_Retailer'!J2)</f>
        <v/>
      </c>
      <c r="G5" s="2">
        <f>CHOOSE(Inputs!$B$12,'S1_D1_Retailer'!P2,'S1_D2_Retailer'!P2,'S1_D3_Retailer'!P2)</f>
        <v/>
      </c>
      <c r="H5" s="2">
        <f>CHOOSE(Inputs!$B$12,'S1_D1_Retailer'!K2,'S1_D2_Retailer'!K2,'S1_D3_Retailer'!K2)</f>
        <v/>
      </c>
      <c r="I5" s="2">
        <f>CHOOSE(Inputs!$B$12,'S1_D1_Retailer'!L2,'S1_D2_Retailer'!L2,'S1_D3_Retailer'!L2)</f>
        <v/>
      </c>
      <c r="J5" s="2">
        <f>CHOOSE(Inputs!$B$12,'S1_D1_Retailer'!M2,'S1_D2_Retailer'!M2,'S1_D3_Retailer'!M2)</f>
        <v/>
      </c>
      <c r="K5" s="2">
        <f>CHOOSE(Inputs!$B$12,'S1_D1_Retailer'!N2,'S1_D2_Retailer'!N2,'S1_D3_Retailer'!N2)</f>
        <v/>
      </c>
      <c r="L5" s="2">
        <f>CHOOSE(Inputs!$B$12,'S1_D1_Wholesaler'!C2,'S1_D2_Wholesaler'!C2,'S1_D3_Wholesaler'!C2)</f>
        <v/>
      </c>
      <c r="M5" s="2">
        <f>CHOOSE(Inputs!$B$12,'S1_D1_Wholesaler'!D2,'S1_D2_Wholesaler'!D2,'S1_D3_Wholesaler'!D2)</f>
        <v/>
      </c>
      <c r="N5" s="2">
        <f>CHOOSE(Inputs!$B$12,'S1_D1_Wholesaler'!H2,'S1_D2_Wholesaler'!H2,'S1_D3_Wholesaler'!H2)</f>
        <v/>
      </c>
      <c r="O5" s="2">
        <f>CHOOSE(Inputs!$B$12,'S1_D1_Wholesaler'!I2,'S1_D2_Wholesaler'!I2,'S1_D3_Wholesaler'!I2)</f>
        <v/>
      </c>
      <c r="P5" s="2">
        <f>CHOOSE(Inputs!$B$12,'S1_D1_Wholesaler'!J2,'S1_D2_Wholesaler'!J2,'S1_D3_Wholesaler'!J2)</f>
        <v/>
      </c>
      <c r="Q5" s="2">
        <f>CHOOSE(Inputs!$B$12,'S1_D1_Wholesaler'!P2,'S1_D2_Wholesaler'!P2,'S1_D3_Wholesaler'!P2)</f>
        <v/>
      </c>
      <c r="R5" s="2">
        <f>CHOOSE(Inputs!$B$12,'S1_D1_Wholesaler'!K2,'S1_D2_Wholesaler'!K2,'S1_D3_Wholesaler'!K2)</f>
        <v/>
      </c>
      <c r="S5" s="2">
        <f>CHOOSE(Inputs!$B$12,'S1_D1_Wholesaler'!L2,'S1_D2_Wholesaler'!L2,'S1_D3_Wholesaler'!L2)</f>
        <v/>
      </c>
      <c r="T5" s="2">
        <f>CHOOSE(Inputs!$B$12,'S1_D1_Wholesaler'!M2,'S1_D2_Wholesaler'!M2,'S1_D3_Wholesaler'!M2)</f>
        <v/>
      </c>
      <c r="U5" s="2">
        <f>CHOOSE(Inputs!$B$12,'S1_D1_Wholesaler'!N2,'S1_D2_Wholesaler'!N2,'S1_D3_Wholesaler'!N2)</f>
        <v/>
      </c>
      <c r="V5" s="2">
        <f>CHOOSE(Inputs!$B$12,'S1_D1_Distributor'!C2,'S1_D2_Distributor'!C2,'S1_D3_Distributor'!C2)</f>
        <v/>
      </c>
      <c r="W5" s="2">
        <f>CHOOSE(Inputs!$B$12,'S1_D1_Distributor'!D2,'S1_D2_Distributor'!D2,'S1_D3_Distributor'!D2)</f>
        <v/>
      </c>
      <c r="X5" s="2">
        <f>CHOOSE(Inputs!$B$12,'S1_D1_Distributor'!H2,'S1_D2_Distributor'!H2,'S1_D3_Distributor'!H2)</f>
        <v/>
      </c>
      <c r="Y5" s="2">
        <f>CHOOSE(Inputs!$B$12,'S1_D1_Distributor'!I2,'S1_D2_Distributor'!I2,'S1_D3_Distributor'!I2)</f>
        <v/>
      </c>
      <c r="Z5" s="2">
        <f>CHOOSE(Inputs!$B$12,'S1_D1_Distributor'!J2,'S1_D2_Distributor'!J2,'S1_D3_Distributor'!J2)</f>
        <v/>
      </c>
      <c r="AA5" s="2">
        <f>CHOOSE(Inputs!$B$12,'S1_D1_Distributor'!P2,'S1_D2_Distributor'!P2,'S1_D3_Distributor'!P2)</f>
        <v/>
      </c>
      <c r="AB5" s="2">
        <f>CHOOSE(Inputs!$B$12,'S1_D1_Distributor'!K2,'S1_D2_Distributor'!K2,'S1_D3_Distributor'!K2)</f>
        <v/>
      </c>
      <c r="AC5" s="2">
        <f>CHOOSE(Inputs!$B$12,'S1_D1_Distributor'!L2,'S1_D2_Distributor'!L2,'S1_D3_Distributor'!L2)</f>
        <v/>
      </c>
      <c r="AD5" s="2">
        <f>CHOOSE(Inputs!$B$12,'S1_D1_Distributor'!M2,'S1_D2_Distributor'!M2,'S1_D3_Distributor'!M2)</f>
        <v/>
      </c>
      <c r="AE5" s="2">
        <f>CHOOSE(Inputs!$B$12,'S1_D1_Distributor'!N2,'S1_D2_Distributor'!N2,'S1_D3_Distributor'!N2)</f>
        <v/>
      </c>
      <c r="AF5" s="2">
        <f>CHOOSE(Inputs!$B$12,'S1_D1_Factory'!C2,'S1_D2_Factory'!C2,'S1_D3_Factory'!C2)</f>
        <v/>
      </c>
      <c r="AG5" s="2">
        <f>CHOOSE(Inputs!$B$12,'S1_D1_Factory'!D2,'S1_D2_Factory'!D2,'S1_D3_Factory'!D2)</f>
        <v/>
      </c>
      <c r="AH5" s="2">
        <f>CHOOSE(Inputs!$B$12,'S1_D1_Factory'!H2,'S1_D2_Factory'!H2,'S1_D3_Factory'!H2)</f>
        <v/>
      </c>
      <c r="AI5" s="2">
        <f>CHOOSE(Inputs!$B$12,'S1_D1_Factory'!I2,'S1_D2_Factory'!I2,'S1_D3_Factory'!I2)</f>
        <v/>
      </c>
      <c r="AJ5" s="2">
        <f>CHOOSE(Inputs!$B$12,'S1_D1_Factory'!J2,'S1_D2_Factory'!J2,'S1_D3_Factory'!J2)</f>
        <v/>
      </c>
      <c r="AK5" s="2">
        <f>CHOOSE(Inputs!$B$12,'S1_D1_Factory'!P2,'S1_D2_Factory'!P2,'S1_D3_Factory'!P2)</f>
        <v/>
      </c>
      <c r="AL5" s="2">
        <f>CHOOSE(Inputs!$B$12,'S1_D1_Factory'!K2,'S1_D2_Factory'!K2,'S1_D3_Factory'!K2)</f>
        <v/>
      </c>
      <c r="AM5" s="2">
        <f>CHOOSE(Inputs!$B$12,'S1_D1_Factory'!L2,'S1_D2_Factory'!L2,'S1_D3_Factory'!L2)</f>
        <v/>
      </c>
      <c r="AN5" s="2">
        <f>CHOOSE(Inputs!$B$12,'S1_D1_Factory'!M2,'S1_D2_Factory'!M2,'S1_D3_Factory'!M2)</f>
        <v/>
      </c>
      <c r="AO5" s="2">
        <f>CHOOSE(Inputs!$B$12,'S1_D1_Factory'!N2,'S1_D2_Factory'!N2,'S1_D3_Factory'!N2)</f>
        <v/>
      </c>
      <c r="AP5" s="2">
        <f>SUM(H5,R5,AB5,AL5)</f>
        <v/>
      </c>
      <c r="AQ5" s="2">
        <f>SUM(I5,S5,AC5,AM5)</f>
        <v/>
      </c>
      <c r="AR5" s="2">
        <f>SUM(J5,T5,AD5,AN5)</f>
        <v/>
      </c>
      <c r="AS5" s="2">
        <f>AR5</f>
        <v/>
      </c>
    </row>
    <row r="6">
      <c r="A6" s="2" t="n">
        <v>2</v>
      </c>
      <c r="B6" s="2">
        <f>CHOOSE(Inputs!$B$12,'S1_D1_Retailer'!C3,'S1_D2_Retailer'!C3,'S1_D3_Retailer'!C3)</f>
        <v/>
      </c>
      <c r="C6" s="2">
        <f>CHOOSE(Inputs!$B$12,'S1_D1_Retailer'!D3,'S1_D2_Retailer'!D3,'S1_D3_Retailer'!D3)</f>
        <v/>
      </c>
      <c r="D6" s="2">
        <f>CHOOSE(Inputs!$B$12,'S1_D1_Retailer'!H3,'S1_D2_Retailer'!H3,'S1_D3_Retailer'!H3)</f>
        <v/>
      </c>
      <c r="E6" s="2">
        <f>CHOOSE(Inputs!$B$12,'S1_D1_Retailer'!I3,'S1_D2_Retailer'!I3,'S1_D3_Retailer'!I3)</f>
        <v/>
      </c>
      <c r="F6" s="2">
        <f>CHOOSE(Inputs!$B$12,'S1_D1_Retailer'!J3,'S1_D2_Retailer'!J3,'S1_D3_Retailer'!J3)</f>
        <v/>
      </c>
      <c r="G6" s="2">
        <f>CHOOSE(Inputs!$B$12,'S1_D1_Retailer'!P3,'S1_D2_Retailer'!P3,'S1_D3_Retailer'!P3)</f>
        <v/>
      </c>
      <c r="H6" s="2">
        <f>CHOOSE(Inputs!$B$12,'S1_D1_Retailer'!K3,'S1_D2_Retailer'!K3,'S1_D3_Retailer'!K3)</f>
        <v/>
      </c>
      <c r="I6" s="2">
        <f>CHOOSE(Inputs!$B$12,'S1_D1_Retailer'!L3,'S1_D2_Retailer'!L3,'S1_D3_Retailer'!L3)</f>
        <v/>
      </c>
      <c r="J6" s="2">
        <f>CHOOSE(Inputs!$B$12,'S1_D1_Retailer'!M3,'S1_D2_Retailer'!M3,'S1_D3_Retailer'!M3)</f>
        <v/>
      </c>
      <c r="K6" s="2">
        <f>CHOOSE(Inputs!$B$12,'S1_D1_Retailer'!N3,'S1_D2_Retailer'!N3,'S1_D3_Retailer'!N3)</f>
        <v/>
      </c>
      <c r="L6" s="2">
        <f>CHOOSE(Inputs!$B$12,'S1_D1_Wholesaler'!C3,'S1_D2_Wholesaler'!C3,'S1_D3_Wholesaler'!C3)</f>
        <v/>
      </c>
      <c r="M6" s="2">
        <f>CHOOSE(Inputs!$B$12,'S1_D1_Wholesaler'!D3,'S1_D2_Wholesaler'!D3,'S1_D3_Wholesaler'!D3)</f>
        <v/>
      </c>
      <c r="N6" s="2">
        <f>CHOOSE(Inputs!$B$12,'S1_D1_Wholesaler'!H3,'S1_D2_Wholesaler'!H3,'S1_D3_Wholesaler'!H3)</f>
        <v/>
      </c>
      <c r="O6" s="2">
        <f>CHOOSE(Inputs!$B$12,'S1_D1_Wholesaler'!I3,'S1_D2_Wholesaler'!I3,'S1_D3_Wholesaler'!I3)</f>
        <v/>
      </c>
      <c r="P6" s="2">
        <f>CHOOSE(Inputs!$B$12,'S1_D1_Wholesaler'!J3,'S1_D2_Wholesaler'!J3,'S1_D3_Wholesaler'!J3)</f>
        <v/>
      </c>
      <c r="Q6" s="2">
        <f>CHOOSE(Inputs!$B$12,'S1_D1_Wholesaler'!P3,'S1_D2_Wholesaler'!P3,'S1_D3_Wholesaler'!P3)</f>
        <v/>
      </c>
      <c r="R6" s="2">
        <f>CHOOSE(Inputs!$B$12,'S1_D1_Wholesaler'!K3,'S1_D2_Wholesaler'!K3,'S1_D3_Wholesaler'!K3)</f>
        <v/>
      </c>
      <c r="S6" s="2">
        <f>CHOOSE(Inputs!$B$12,'S1_D1_Wholesaler'!L3,'S1_D2_Wholesaler'!L3,'S1_D3_Wholesaler'!L3)</f>
        <v/>
      </c>
      <c r="T6" s="2">
        <f>CHOOSE(Inputs!$B$12,'S1_D1_Wholesaler'!M3,'S1_D2_Wholesaler'!M3,'S1_D3_Wholesaler'!M3)</f>
        <v/>
      </c>
      <c r="U6" s="2">
        <f>CHOOSE(Inputs!$B$12,'S1_D1_Wholesaler'!N3,'S1_D2_Wholesaler'!N3,'S1_D3_Wholesaler'!N3)</f>
        <v/>
      </c>
      <c r="V6" s="2">
        <f>CHOOSE(Inputs!$B$12,'S1_D1_Distributor'!C3,'S1_D2_Distributor'!C3,'S1_D3_Distributor'!C3)</f>
        <v/>
      </c>
      <c r="W6" s="2">
        <f>CHOOSE(Inputs!$B$12,'S1_D1_Distributor'!D3,'S1_D2_Distributor'!D3,'S1_D3_Distributor'!D3)</f>
        <v/>
      </c>
      <c r="X6" s="2">
        <f>CHOOSE(Inputs!$B$12,'S1_D1_Distributor'!H3,'S1_D2_Distributor'!H3,'S1_D3_Distributor'!H3)</f>
        <v/>
      </c>
      <c r="Y6" s="2">
        <f>CHOOSE(Inputs!$B$12,'S1_D1_Distributor'!I3,'S1_D2_Distributor'!I3,'S1_D3_Distributor'!I3)</f>
        <v/>
      </c>
      <c r="Z6" s="2">
        <f>CHOOSE(Inputs!$B$12,'S1_D1_Distributor'!J3,'S1_D2_Distributor'!J3,'S1_D3_Distributor'!J3)</f>
        <v/>
      </c>
      <c r="AA6" s="2">
        <f>CHOOSE(Inputs!$B$12,'S1_D1_Distributor'!P3,'S1_D2_Distributor'!P3,'S1_D3_Distributor'!P3)</f>
        <v/>
      </c>
      <c r="AB6" s="2">
        <f>CHOOSE(Inputs!$B$12,'S1_D1_Distributor'!K3,'S1_D2_Distributor'!K3,'S1_D3_Distributor'!K3)</f>
        <v/>
      </c>
      <c r="AC6" s="2">
        <f>CHOOSE(Inputs!$B$12,'S1_D1_Distributor'!L3,'S1_D2_Distributor'!L3,'S1_D3_Distributor'!L3)</f>
        <v/>
      </c>
      <c r="AD6" s="2">
        <f>CHOOSE(Inputs!$B$12,'S1_D1_Distributor'!M3,'S1_D2_Distributor'!M3,'S1_D3_Distributor'!M3)</f>
        <v/>
      </c>
      <c r="AE6" s="2">
        <f>CHOOSE(Inputs!$B$12,'S1_D1_Distributor'!N3,'S1_D2_Distributor'!N3,'S1_D3_Distributor'!N3)</f>
        <v/>
      </c>
      <c r="AF6" s="2">
        <f>CHOOSE(Inputs!$B$12,'S1_D1_Factory'!C3,'S1_D2_Factory'!C3,'S1_D3_Factory'!C3)</f>
        <v/>
      </c>
      <c r="AG6" s="2">
        <f>CHOOSE(Inputs!$B$12,'S1_D1_Factory'!D3,'S1_D2_Factory'!D3,'S1_D3_Factory'!D3)</f>
        <v/>
      </c>
      <c r="AH6" s="2">
        <f>CHOOSE(Inputs!$B$12,'S1_D1_Factory'!H3,'S1_D2_Factory'!H3,'S1_D3_Factory'!H3)</f>
        <v/>
      </c>
      <c r="AI6" s="2">
        <f>CHOOSE(Inputs!$B$12,'S1_D1_Factory'!I3,'S1_D2_Factory'!I3,'S1_D3_Factory'!I3)</f>
        <v/>
      </c>
      <c r="AJ6" s="2">
        <f>CHOOSE(Inputs!$B$12,'S1_D1_Factory'!J3,'S1_D2_Factory'!J3,'S1_D3_Factory'!J3)</f>
        <v/>
      </c>
      <c r="AK6" s="2">
        <f>CHOOSE(Inputs!$B$12,'S1_D1_Factory'!P3,'S1_D2_Factory'!P3,'S1_D3_Factory'!P3)</f>
        <v/>
      </c>
      <c r="AL6" s="2">
        <f>CHOOSE(Inputs!$B$12,'S1_D1_Factory'!K3,'S1_D2_Factory'!K3,'S1_D3_Factory'!K3)</f>
        <v/>
      </c>
      <c r="AM6" s="2">
        <f>CHOOSE(Inputs!$B$12,'S1_D1_Factory'!L3,'S1_D2_Factory'!L3,'S1_D3_Factory'!L3)</f>
        <v/>
      </c>
      <c r="AN6" s="2">
        <f>CHOOSE(Inputs!$B$12,'S1_D1_Factory'!M3,'S1_D2_Factory'!M3,'S1_D3_Factory'!M3)</f>
        <v/>
      </c>
      <c r="AO6" s="2">
        <f>CHOOSE(Inputs!$B$12,'S1_D1_Factory'!N3,'S1_D2_Factory'!N3,'S1_D3_Factory'!N3)</f>
        <v/>
      </c>
      <c r="AP6" s="2">
        <f>SUM(H6,R6,AB6,AL6)</f>
        <v/>
      </c>
      <c r="AQ6" s="2">
        <f>SUM(I6,S6,AC6,AM6)</f>
        <v/>
      </c>
      <c r="AR6" s="2">
        <f>SUM(J6,T6,AD6,AN6)</f>
        <v/>
      </c>
      <c r="AS6" s="2">
        <f>AS5+AR6</f>
        <v/>
      </c>
    </row>
    <row r="7">
      <c r="A7" s="2" t="n">
        <v>3</v>
      </c>
      <c r="B7" s="2">
        <f>CHOOSE(Inputs!$B$12,'S1_D1_Retailer'!C4,'S1_D2_Retailer'!C4,'S1_D3_Retailer'!C4)</f>
        <v/>
      </c>
      <c r="C7" s="2">
        <f>CHOOSE(Inputs!$B$12,'S1_D1_Retailer'!D4,'S1_D2_Retailer'!D4,'S1_D3_Retailer'!D4)</f>
        <v/>
      </c>
      <c r="D7" s="2">
        <f>CHOOSE(Inputs!$B$12,'S1_D1_Retailer'!H4,'S1_D2_Retailer'!H4,'S1_D3_Retailer'!H4)</f>
        <v/>
      </c>
      <c r="E7" s="2">
        <f>CHOOSE(Inputs!$B$12,'S1_D1_Retailer'!I4,'S1_D2_Retailer'!I4,'S1_D3_Retailer'!I4)</f>
        <v/>
      </c>
      <c r="F7" s="2">
        <f>CHOOSE(Inputs!$B$12,'S1_D1_Retailer'!J4,'S1_D2_Retailer'!J4,'S1_D3_Retailer'!J4)</f>
        <v/>
      </c>
      <c r="G7" s="2">
        <f>CHOOSE(Inputs!$B$12,'S1_D1_Retailer'!P4,'S1_D2_Retailer'!P4,'S1_D3_Retailer'!P4)</f>
        <v/>
      </c>
      <c r="H7" s="2">
        <f>CHOOSE(Inputs!$B$12,'S1_D1_Retailer'!K4,'S1_D2_Retailer'!K4,'S1_D3_Retailer'!K4)</f>
        <v/>
      </c>
      <c r="I7" s="2">
        <f>CHOOSE(Inputs!$B$12,'S1_D1_Retailer'!L4,'S1_D2_Retailer'!L4,'S1_D3_Retailer'!L4)</f>
        <v/>
      </c>
      <c r="J7" s="2">
        <f>CHOOSE(Inputs!$B$12,'S1_D1_Retailer'!M4,'S1_D2_Retailer'!M4,'S1_D3_Retailer'!M4)</f>
        <v/>
      </c>
      <c r="K7" s="2">
        <f>CHOOSE(Inputs!$B$12,'S1_D1_Retailer'!N4,'S1_D2_Retailer'!N4,'S1_D3_Retailer'!N4)</f>
        <v/>
      </c>
      <c r="L7" s="2">
        <f>CHOOSE(Inputs!$B$12,'S1_D1_Wholesaler'!C4,'S1_D2_Wholesaler'!C4,'S1_D3_Wholesaler'!C4)</f>
        <v/>
      </c>
      <c r="M7" s="2">
        <f>CHOOSE(Inputs!$B$12,'S1_D1_Wholesaler'!D4,'S1_D2_Wholesaler'!D4,'S1_D3_Wholesaler'!D4)</f>
        <v/>
      </c>
      <c r="N7" s="2">
        <f>CHOOSE(Inputs!$B$12,'S1_D1_Wholesaler'!H4,'S1_D2_Wholesaler'!H4,'S1_D3_Wholesaler'!H4)</f>
        <v/>
      </c>
      <c r="O7" s="2">
        <f>CHOOSE(Inputs!$B$12,'S1_D1_Wholesaler'!I4,'S1_D2_Wholesaler'!I4,'S1_D3_Wholesaler'!I4)</f>
        <v/>
      </c>
      <c r="P7" s="2">
        <f>CHOOSE(Inputs!$B$12,'S1_D1_Wholesaler'!J4,'S1_D2_Wholesaler'!J4,'S1_D3_Wholesaler'!J4)</f>
        <v/>
      </c>
      <c r="Q7" s="2">
        <f>CHOOSE(Inputs!$B$12,'S1_D1_Wholesaler'!P4,'S1_D2_Wholesaler'!P4,'S1_D3_Wholesaler'!P4)</f>
        <v/>
      </c>
      <c r="R7" s="2">
        <f>CHOOSE(Inputs!$B$12,'S1_D1_Wholesaler'!K4,'S1_D2_Wholesaler'!K4,'S1_D3_Wholesaler'!K4)</f>
        <v/>
      </c>
      <c r="S7" s="2">
        <f>CHOOSE(Inputs!$B$12,'S1_D1_Wholesaler'!L4,'S1_D2_Wholesaler'!L4,'S1_D3_Wholesaler'!L4)</f>
        <v/>
      </c>
      <c r="T7" s="2">
        <f>CHOOSE(Inputs!$B$12,'S1_D1_Wholesaler'!M4,'S1_D2_Wholesaler'!M4,'S1_D3_Wholesaler'!M4)</f>
        <v/>
      </c>
      <c r="U7" s="2">
        <f>CHOOSE(Inputs!$B$12,'S1_D1_Wholesaler'!N4,'S1_D2_Wholesaler'!N4,'S1_D3_Wholesaler'!N4)</f>
        <v/>
      </c>
      <c r="V7" s="2">
        <f>CHOOSE(Inputs!$B$12,'S1_D1_Distributor'!C4,'S1_D2_Distributor'!C4,'S1_D3_Distributor'!C4)</f>
        <v/>
      </c>
      <c r="W7" s="2">
        <f>CHOOSE(Inputs!$B$12,'S1_D1_Distributor'!D4,'S1_D2_Distributor'!D4,'S1_D3_Distributor'!D4)</f>
        <v/>
      </c>
      <c r="X7" s="2">
        <f>CHOOSE(Inputs!$B$12,'S1_D1_Distributor'!H4,'S1_D2_Distributor'!H4,'S1_D3_Distributor'!H4)</f>
        <v/>
      </c>
      <c r="Y7" s="2">
        <f>CHOOSE(Inputs!$B$12,'S1_D1_Distributor'!I4,'S1_D2_Distributor'!I4,'S1_D3_Distributor'!I4)</f>
        <v/>
      </c>
      <c r="Z7" s="2">
        <f>CHOOSE(Inputs!$B$12,'S1_D1_Distributor'!J4,'S1_D2_Distributor'!J4,'S1_D3_Distributor'!J4)</f>
        <v/>
      </c>
      <c r="AA7" s="2">
        <f>CHOOSE(Inputs!$B$12,'S1_D1_Distributor'!P4,'S1_D2_Distributor'!P4,'S1_D3_Distributor'!P4)</f>
        <v/>
      </c>
      <c r="AB7" s="2">
        <f>CHOOSE(Inputs!$B$12,'S1_D1_Distributor'!K4,'S1_D2_Distributor'!K4,'S1_D3_Distributor'!K4)</f>
        <v/>
      </c>
      <c r="AC7" s="2">
        <f>CHOOSE(Inputs!$B$12,'S1_D1_Distributor'!L4,'S1_D2_Distributor'!L4,'S1_D3_Distributor'!L4)</f>
        <v/>
      </c>
      <c r="AD7" s="2">
        <f>CHOOSE(Inputs!$B$12,'S1_D1_Distributor'!M4,'S1_D2_Distributor'!M4,'S1_D3_Distributor'!M4)</f>
        <v/>
      </c>
      <c r="AE7" s="2">
        <f>CHOOSE(Inputs!$B$12,'S1_D1_Distributor'!N4,'S1_D2_Distributor'!N4,'S1_D3_Distributor'!N4)</f>
        <v/>
      </c>
      <c r="AF7" s="2">
        <f>CHOOSE(Inputs!$B$12,'S1_D1_Factory'!C4,'S1_D2_Factory'!C4,'S1_D3_Factory'!C4)</f>
        <v/>
      </c>
      <c r="AG7" s="2">
        <f>CHOOSE(Inputs!$B$12,'S1_D1_Factory'!D4,'S1_D2_Factory'!D4,'S1_D3_Factory'!D4)</f>
        <v/>
      </c>
      <c r="AH7" s="2">
        <f>CHOOSE(Inputs!$B$12,'S1_D1_Factory'!H4,'S1_D2_Factory'!H4,'S1_D3_Factory'!H4)</f>
        <v/>
      </c>
      <c r="AI7" s="2">
        <f>CHOOSE(Inputs!$B$12,'S1_D1_Factory'!I4,'S1_D2_Factory'!I4,'S1_D3_Factory'!I4)</f>
        <v/>
      </c>
      <c r="AJ7" s="2">
        <f>CHOOSE(Inputs!$B$12,'S1_D1_Factory'!J4,'S1_D2_Factory'!J4,'S1_D3_Factory'!J4)</f>
        <v/>
      </c>
      <c r="AK7" s="2">
        <f>CHOOSE(Inputs!$B$12,'S1_D1_Factory'!P4,'S1_D2_Factory'!P4,'S1_D3_Factory'!P4)</f>
        <v/>
      </c>
      <c r="AL7" s="2">
        <f>CHOOSE(Inputs!$B$12,'S1_D1_Factory'!K4,'S1_D2_Factory'!K4,'S1_D3_Factory'!K4)</f>
        <v/>
      </c>
      <c r="AM7" s="2">
        <f>CHOOSE(Inputs!$B$12,'S1_D1_Factory'!L4,'S1_D2_Factory'!L4,'S1_D3_Factory'!L4)</f>
        <v/>
      </c>
      <c r="AN7" s="2">
        <f>CHOOSE(Inputs!$B$12,'S1_D1_Factory'!M4,'S1_D2_Factory'!M4,'S1_D3_Factory'!M4)</f>
        <v/>
      </c>
      <c r="AO7" s="2">
        <f>CHOOSE(Inputs!$B$12,'S1_D1_Factory'!N4,'S1_D2_Factory'!N4,'S1_D3_Factory'!N4)</f>
        <v/>
      </c>
      <c r="AP7" s="2">
        <f>SUM(H7,R7,AB7,AL7)</f>
        <v/>
      </c>
      <c r="AQ7" s="2">
        <f>SUM(I7,S7,AC7,AM7)</f>
        <v/>
      </c>
      <c r="AR7" s="2">
        <f>SUM(J7,T7,AD7,AN7)</f>
        <v/>
      </c>
      <c r="AS7" s="2">
        <f>AS6+AR7</f>
        <v/>
      </c>
    </row>
    <row r="8">
      <c r="A8" s="2" t="n">
        <v>4</v>
      </c>
      <c r="B8" s="2">
        <f>CHOOSE(Inputs!$B$12,'S1_D1_Retailer'!C5,'S1_D2_Retailer'!C5,'S1_D3_Retailer'!C5)</f>
        <v/>
      </c>
      <c r="C8" s="2">
        <f>CHOOSE(Inputs!$B$12,'S1_D1_Retailer'!D5,'S1_D2_Retailer'!D5,'S1_D3_Retailer'!D5)</f>
        <v/>
      </c>
      <c r="D8" s="2">
        <f>CHOOSE(Inputs!$B$12,'S1_D1_Retailer'!H5,'S1_D2_Retailer'!H5,'S1_D3_Retailer'!H5)</f>
        <v/>
      </c>
      <c r="E8" s="2">
        <f>CHOOSE(Inputs!$B$12,'S1_D1_Retailer'!I5,'S1_D2_Retailer'!I5,'S1_D3_Retailer'!I5)</f>
        <v/>
      </c>
      <c r="F8" s="2">
        <f>CHOOSE(Inputs!$B$12,'S1_D1_Retailer'!J5,'S1_D2_Retailer'!J5,'S1_D3_Retailer'!J5)</f>
        <v/>
      </c>
      <c r="G8" s="2">
        <f>CHOOSE(Inputs!$B$12,'S1_D1_Retailer'!P5,'S1_D2_Retailer'!P5,'S1_D3_Retailer'!P5)</f>
        <v/>
      </c>
      <c r="H8" s="2">
        <f>CHOOSE(Inputs!$B$12,'S1_D1_Retailer'!K5,'S1_D2_Retailer'!K5,'S1_D3_Retailer'!K5)</f>
        <v/>
      </c>
      <c r="I8" s="2">
        <f>CHOOSE(Inputs!$B$12,'S1_D1_Retailer'!L5,'S1_D2_Retailer'!L5,'S1_D3_Retailer'!L5)</f>
        <v/>
      </c>
      <c r="J8" s="2">
        <f>CHOOSE(Inputs!$B$12,'S1_D1_Retailer'!M5,'S1_D2_Retailer'!M5,'S1_D3_Retailer'!M5)</f>
        <v/>
      </c>
      <c r="K8" s="2">
        <f>CHOOSE(Inputs!$B$12,'S1_D1_Retailer'!N5,'S1_D2_Retailer'!N5,'S1_D3_Retailer'!N5)</f>
        <v/>
      </c>
      <c r="L8" s="2">
        <f>CHOOSE(Inputs!$B$12,'S1_D1_Wholesaler'!C5,'S1_D2_Wholesaler'!C5,'S1_D3_Wholesaler'!C5)</f>
        <v/>
      </c>
      <c r="M8" s="2">
        <f>CHOOSE(Inputs!$B$12,'S1_D1_Wholesaler'!D5,'S1_D2_Wholesaler'!D5,'S1_D3_Wholesaler'!D5)</f>
        <v/>
      </c>
      <c r="N8" s="2">
        <f>CHOOSE(Inputs!$B$12,'S1_D1_Wholesaler'!H5,'S1_D2_Wholesaler'!H5,'S1_D3_Wholesaler'!H5)</f>
        <v/>
      </c>
      <c r="O8" s="2">
        <f>CHOOSE(Inputs!$B$12,'S1_D1_Wholesaler'!I5,'S1_D2_Wholesaler'!I5,'S1_D3_Wholesaler'!I5)</f>
        <v/>
      </c>
      <c r="P8" s="2">
        <f>CHOOSE(Inputs!$B$12,'S1_D1_Wholesaler'!J5,'S1_D2_Wholesaler'!J5,'S1_D3_Wholesaler'!J5)</f>
        <v/>
      </c>
      <c r="Q8" s="2">
        <f>CHOOSE(Inputs!$B$12,'S1_D1_Wholesaler'!P5,'S1_D2_Wholesaler'!P5,'S1_D3_Wholesaler'!P5)</f>
        <v/>
      </c>
      <c r="R8" s="2">
        <f>CHOOSE(Inputs!$B$12,'S1_D1_Wholesaler'!K5,'S1_D2_Wholesaler'!K5,'S1_D3_Wholesaler'!K5)</f>
        <v/>
      </c>
      <c r="S8" s="2">
        <f>CHOOSE(Inputs!$B$12,'S1_D1_Wholesaler'!L5,'S1_D2_Wholesaler'!L5,'S1_D3_Wholesaler'!L5)</f>
        <v/>
      </c>
      <c r="T8" s="2">
        <f>CHOOSE(Inputs!$B$12,'S1_D1_Wholesaler'!M5,'S1_D2_Wholesaler'!M5,'S1_D3_Wholesaler'!M5)</f>
        <v/>
      </c>
      <c r="U8" s="2">
        <f>CHOOSE(Inputs!$B$12,'S1_D1_Wholesaler'!N5,'S1_D2_Wholesaler'!N5,'S1_D3_Wholesaler'!N5)</f>
        <v/>
      </c>
      <c r="V8" s="2">
        <f>CHOOSE(Inputs!$B$12,'S1_D1_Distributor'!C5,'S1_D2_Distributor'!C5,'S1_D3_Distributor'!C5)</f>
        <v/>
      </c>
      <c r="W8" s="2">
        <f>CHOOSE(Inputs!$B$12,'S1_D1_Distributor'!D5,'S1_D2_Distributor'!D5,'S1_D3_Distributor'!D5)</f>
        <v/>
      </c>
      <c r="X8" s="2">
        <f>CHOOSE(Inputs!$B$12,'S1_D1_Distributor'!H5,'S1_D2_Distributor'!H5,'S1_D3_Distributor'!H5)</f>
        <v/>
      </c>
      <c r="Y8" s="2">
        <f>CHOOSE(Inputs!$B$12,'S1_D1_Distributor'!I5,'S1_D2_Distributor'!I5,'S1_D3_Distributor'!I5)</f>
        <v/>
      </c>
      <c r="Z8" s="2">
        <f>CHOOSE(Inputs!$B$12,'S1_D1_Distributor'!J5,'S1_D2_Distributor'!J5,'S1_D3_Distributor'!J5)</f>
        <v/>
      </c>
      <c r="AA8" s="2">
        <f>CHOOSE(Inputs!$B$12,'S1_D1_Distributor'!P5,'S1_D2_Distributor'!P5,'S1_D3_Distributor'!P5)</f>
        <v/>
      </c>
      <c r="AB8" s="2">
        <f>CHOOSE(Inputs!$B$12,'S1_D1_Distributor'!K5,'S1_D2_Distributor'!K5,'S1_D3_Distributor'!K5)</f>
        <v/>
      </c>
      <c r="AC8" s="2">
        <f>CHOOSE(Inputs!$B$12,'S1_D1_Distributor'!L5,'S1_D2_Distributor'!L5,'S1_D3_Distributor'!L5)</f>
        <v/>
      </c>
      <c r="AD8" s="2">
        <f>CHOOSE(Inputs!$B$12,'S1_D1_Distributor'!M5,'S1_D2_Distributor'!M5,'S1_D3_Distributor'!M5)</f>
        <v/>
      </c>
      <c r="AE8" s="2">
        <f>CHOOSE(Inputs!$B$12,'S1_D1_Distributor'!N5,'S1_D2_Distributor'!N5,'S1_D3_Distributor'!N5)</f>
        <v/>
      </c>
      <c r="AF8" s="2">
        <f>CHOOSE(Inputs!$B$12,'S1_D1_Factory'!C5,'S1_D2_Factory'!C5,'S1_D3_Factory'!C5)</f>
        <v/>
      </c>
      <c r="AG8" s="2">
        <f>CHOOSE(Inputs!$B$12,'S1_D1_Factory'!D5,'S1_D2_Factory'!D5,'S1_D3_Factory'!D5)</f>
        <v/>
      </c>
      <c r="AH8" s="2">
        <f>CHOOSE(Inputs!$B$12,'S1_D1_Factory'!H5,'S1_D2_Factory'!H5,'S1_D3_Factory'!H5)</f>
        <v/>
      </c>
      <c r="AI8" s="2">
        <f>CHOOSE(Inputs!$B$12,'S1_D1_Factory'!I5,'S1_D2_Factory'!I5,'S1_D3_Factory'!I5)</f>
        <v/>
      </c>
      <c r="AJ8" s="2">
        <f>CHOOSE(Inputs!$B$12,'S1_D1_Factory'!J5,'S1_D2_Factory'!J5,'S1_D3_Factory'!J5)</f>
        <v/>
      </c>
      <c r="AK8" s="2">
        <f>CHOOSE(Inputs!$B$12,'S1_D1_Factory'!P5,'S1_D2_Factory'!P5,'S1_D3_Factory'!P5)</f>
        <v/>
      </c>
      <c r="AL8" s="2">
        <f>CHOOSE(Inputs!$B$12,'S1_D1_Factory'!K5,'S1_D2_Factory'!K5,'S1_D3_Factory'!K5)</f>
        <v/>
      </c>
      <c r="AM8" s="2">
        <f>CHOOSE(Inputs!$B$12,'S1_D1_Factory'!L5,'S1_D2_Factory'!L5,'S1_D3_Factory'!L5)</f>
        <v/>
      </c>
      <c r="AN8" s="2">
        <f>CHOOSE(Inputs!$B$12,'S1_D1_Factory'!M5,'S1_D2_Factory'!M5,'S1_D3_Factory'!M5)</f>
        <v/>
      </c>
      <c r="AO8" s="2">
        <f>CHOOSE(Inputs!$B$12,'S1_D1_Factory'!N5,'S1_D2_Factory'!N5,'S1_D3_Factory'!N5)</f>
        <v/>
      </c>
      <c r="AP8" s="2">
        <f>SUM(H8,R8,AB8,AL8)</f>
        <v/>
      </c>
      <c r="AQ8" s="2">
        <f>SUM(I8,S8,AC8,AM8)</f>
        <v/>
      </c>
      <c r="AR8" s="2">
        <f>SUM(J8,T8,AD8,AN8)</f>
        <v/>
      </c>
      <c r="AS8" s="2">
        <f>AS7+AR8</f>
        <v/>
      </c>
    </row>
    <row r="9">
      <c r="A9" s="2" t="n">
        <v>5</v>
      </c>
      <c r="B9" s="2">
        <f>CHOOSE(Inputs!$B$12,'S1_D1_Retailer'!C6,'S1_D2_Retailer'!C6,'S1_D3_Retailer'!C6)</f>
        <v/>
      </c>
      <c r="C9" s="2">
        <f>CHOOSE(Inputs!$B$12,'S1_D1_Retailer'!D6,'S1_D2_Retailer'!D6,'S1_D3_Retailer'!D6)</f>
        <v/>
      </c>
      <c r="D9" s="2">
        <f>CHOOSE(Inputs!$B$12,'S1_D1_Retailer'!H6,'S1_D2_Retailer'!H6,'S1_D3_Retailer'!H6)</f>
        <v/>
      </c>
      <c r="E9" s="2">
        <f>CHOOSE(Inputs!$B$12,'S1_D1_Retailer'!I6,'S1_D2_Retailer'!I6,'S1_D3_Retailer'!I6)</f>
        <v/>
      </c>
      <c r="F9" s="2">
        <f>CHOOSE(Inputs!$B$12,'S1_D1_Retailer'!J6,'S1_D2_Retailer'!J6,'S1_D3_Retailer'!J6)</f>
        <v/>
      </c>
      <c r="G9" s="2">
        <f>CHOOSE(Inputs!$B$12,'S1_D1_Retailer'!P6,'S1_D2_Retailer'!P6,'S1_D3_Retailer'!P6)</f>
        <v/>
      </c>
      <c r="H9" s="2">
        <f>CHOOSE(Inputs!$B$12,'S1_D1_Retailer'!K6,'S1_D2_Retailer'!K6,'S1_D3_Retailer'!K6)</f>
        <v/>
      </c>
      <c r="I9" s="2">
        <f>CHOOSE(Inputs!$B$12,'S1_D1_Retailer'!L6,'S1_D2_Retailer'!L6,'S1_D3_Retailer'!L6)</f>
        <v/>
      </c>
      <c r="J9" s="2">
        <f>CHOOSE(Inputs!$B$12,'S1_D1_Retailer'!M6,'S1_D2_Retailer'!M6,'S1_D3_Retailer'!M6)</f>
        <v/>
      </c>
      <c r="K9" s="2">
        <f>CHOOSE(Inputs!$B$12,'S1_D1_Retailer'!N6,'S1_D2_Retailer'!N6,'S1_D3_Retailer'!N6)</f>
        <v/>
      </c>
      <c r="L9" s="2">
        <f>CHOOSE(Inputs!$B$12,'S1_D1_Wholesaler'!C6,'S1_D2_Wholesaler'!C6,'S1_D3_Wholesaler'!C6)</f>
        <v/>
      </c>
      <c r="M9" s="2">
        <f>CHOOSE(Inputs!$B$12,'S1_D1_Wholesaler'!D6,'S1_D2_Wholesaler'!D6,'S1_D3_Wholesaler'!D6)</f>
        <v/>
      </c>
      <c r="N9" s="2">
        <f>CHOOSE(Inputs!$B$12,'S1_D1_Wholesaler'!H6,'S1_D2_Wholesaler'!H6,'S1_D3_Wholesaler'!H6)</f>
        <v/>
      </c>
      <c r="O9" s="2">
        <f>CHOOSE(Inputs!$B$12,'S1_D1_Wholesaler'!I6,'S1_D2_Wholesaler'!I6,'S1_D3_Wholesaler'!I6)</f>
        <v/>
      </c>
      <c r="P9" s="2">
        <f>CHOOSE(Inputs!$B$12,'S1_D1_Wholesaler'!J6,'S1_D2_Wholesaler'!J6,'S1_D3_Wholesaler'!J6)</f>
        <v/>
      </c>
      <c r="Q9" s="2">
        <f>CHOOSE(Inputs!$B$12,'S1_D1_Wholesaler'!P6,'S1_D2_Wholesaler'!P6,'S1_D3_Wholesaler'!P6)</f>
        <v/>
      </c>
      <c r="R9" s="2">
        <f>CHOOSE(Inputs!$B$12,'S1_D1_Wholesaler'!K6,'S1_D2_Wholesaler'!K6,'S1_D3_Wholesaler'!K6)</f>
        <v/>
      </c>
      <c r="S9" s="2">
        <f>CHOOSE(Inputs!$B$12,'S1_D1_Wholesaler'!L6,'S1_D2_Wholesaler'!L6,'S1_D3_Wholesaler'!L6)</f>
        <v/>
      </c>
      <c r="T9" s="2">
        <f>CHOOSE(Inputs!$B$12,'S1_D1_Wholesaler'!M6,'S1_D2_Wholesaler'!M6,'S1_D3_Wholesaler'!M6)</f>
        <v/>
      </c>
      <c r="U9" s="2">
        <f>CHOOSE(Inputs!$B$12,'S1_D1_Wholesaler'!N6,'S1_D2_Wholesaler'!N6,'S1_D3_Wholesaler'!N6)</f>
        <v/>
      </c>
      <c r="V9" s="2">
        <f>CHOOSE(Inputs!$B$12,'S1_D1_Distributor'!C6,'S1_D2_Distributor'!C6,'S1_D3_Distributor'!C6)</f>
        <v/>
      </c>
      <c r="W9" s="2">
        <f>CHOOSE(Inputs!$B$12,'S1_D1_Distributor'!D6,'S1_D2_Distributor'!D6,'S1_D3_Distributor'!D6)</f>
        <v/>
      </c>
      <c r="X9" s="2">
        <f>CHOOSE(Inputs!$B$12,'S1_D1_Distributor'!H6,'S1_D2_Distributor'!H6,'S1_D3_Distributor'!H6)</f>
        <v/>
      </c>
      <c r="Y9" s="2">
        <f>CHOOSE(Inputs!$B$12,'S1_D1_Distributor'!I6,'S1_D2_Distributor'!I6,'S1_D3_Distributor'!I6)</f>
        <v/>
      </c>
      <c r="Z9" s="2">
        <f>CHOOSE(Inputs!$B$12,'S1_D1_Distributor'!J6,'S1_D2_Distributor'!J6,'S1_D3_Distributor'!J6)</f>
        <v/>
      </c>
      <c r="AA9" s="2">
        <f>CHOOSE(Inputs!$B$12,'S1_D1_Distributor'!P6,'S1_D2_Distributor'!P6,'S1_D3_Distributor'!P6)</f>
        <v/>
      </c>
      <c r="AB9" s="2">
        <f>CHOOSE(Inputs!$B$12,'S1_D1_Distributor'!K6,'S1_D2_Distributor'!K6,'S1_D3_Distributor'!K6)</f>
        <v/>
      </c>
      <c r="AC9" s="2">
        <f>CHOOSE(Inputs!$B$12,'S1_D1_Distributor'!L6,'S1_D2_Distributor'!L6,'S1_D3_Distributor'!L6)</f>
        <v/>
      </c>
      <c r="AD9" s="2">
        <f>CHOOSE(Inputs!$B$12,'S1_D1_Distributor'!M6,'S1_D2_Distributor'!M6,'S1_D3_Distributor'!M6)</f>
        <v/>
      </c>
      <c r="AE9" s="2">
        <f>CHOOSE(Inputs!$B$12,'S1_D1_Distributor'!N6,'S1_D2_Distributor'!N6,'S1_D3_Distributor'!N6)</f>
        <v/>
      </c>
      <c r="AF9" s="2">
        <f>CHOOSE(Inputs!$B$12,'S1_D1_Factory'!C6,'S1_D2_Factory'!C6,'S1_D3_Factory'!C6)</f>
        <v/>
      </c>
      <c r="AG9" s="2">
        <f>CHOOSE(Inputs!$B$12,'S1_D1_Factory'!D6,'S1_D2_Factory'!D6,'S1_D3_Factory'!D6)</f>
        <v/>
      </c>
      <c r="AH9" s="2">
        <f>CHOOSE(Inputs!$B$12,'S1_D1_Factory'!H6,'S1_D2_Factory'!H6,'S1_D3_Factory'!H6)</f>
        <v/>
      </c>
      <c r="AI9" s="2">
        <f>CHOOSE(Inputs!$B$12,'S1_D1_Factory'!I6,'S1_D2_Factory'!I6,'S1_D3_Factory'!I6)</f>
        <v/>
      </c>
      <c r="AJ9" s="2">
        <f>CHOOSE(Inputs!$B$12,'S1_D1_Factory'!J6,'S1_D2_Factory'!J6,'S1_D3_Factory'!J6)</f>
        <v/>
      </c>
      <c r="AK9" s="2">
        <f>CHOOSE(Inputs!$B$12,'S1_D1_Factory'!P6,'S1_D2_Factory'!P6,'S1_D3_Factory'!P6)</f>
        <v/>
      </c>
      <c r="AL9" s="2">
        <f>CHOOSE(Inputs!$B$12,'S1_D1_Factory'!K6,'S1_D2_Factory'!K6,'S1_D3_Factory'!K6)</f>
        <v/>
      </c>
      <c r="AM9" s="2">
        <f>CHOOSE(Inputs!$B$12,'S1_D1_Factory'!L6,'S1_D2_Factory'!L6,'S1_D3_Factory'!L6)</f>
        <v/>
      </c>
      <c r="AN9" s="2">
        <f>CHOOSE(Inputs!$B$12,'S1_D1_Factory'!M6,'S1_D2_Factory'!M6,'S1_D3_Factory'!M6)</f>
        <v/>
      </c>
      <c r="AO9" s="2">
        <f>CHOOSE(Inputs!$B$12,'S1_D1_Factory'!N6,'S1_D2_Factory'!N6,'S1_D3_Factory'!N6)</f>
        <v/>
      </c>
      <c r="AP9" s="2">
        <f>SUM(H9,R9,AB9,AL9)</f>
        <v/>
      </c>
      <c r="AQ9" s="2">
        <f>SUM(I9,S9,AC9,AM9)</f>
        <v/>
      </c>
      <c r="AR9" s="2">
        <f>SUM(J9,T9,AD9,AN9)</f>
        <v/>
      </c>
      <c r="AS9" s="2">
        <f>AS8+AR9</f>
        <v/>
      </c>
    </row>
    <row r="10">
      <c r="A10" s="2" t="n">
        <v>6</v>
      </c>
      <c r="B10" s="2">
        <f>CHOOSE(Inputs!$B$12,'S1_D1_Retailer'!C7,'S1_D2_Retailer'!C7,'S1_D3_Retailer'!C7)</f>
        <v/>
      </c>
      <c r="C10" s="2">
        <f>CHOOSE(Inputs!$B$12,'S1_D1_Retailer'!D7,'S1_D2_Retailer'!D7,'S1_D3_Retailer'!D7)</f>
        <v/>
      </c>
      <c r="D10" s="2">
        <f>CHOOSE(Inputs!$B$12,'S1_D1_Retailer'!H7,'S1_D2_Retailer'!H7,'S1_D3_Retailer'!H7)</f>
        <v/>
      </c>
      <c r="E10" s="2">
        <f>CHOOSE(Inputs!$B$12,'S1_D1_Retailer'!I7,'S1_D2_Retailer'!I7,'S1_D3_Retailer'!I7)</f>
        <v/>
      </c>
      <c r="F10" s="2">
        <f>CHOOSE(Inputs!$B$12,'S1_D1_Retailer'!J7,'S1_D2_Retailer'!J7,'S1_D3_Retailer'!J7)</f>
        <v/>
      </c>
      <c r="G10" s="2">
        <f>CHOOSE(Inputs!$B$12,'S1_D1_Retailer'!P7,'S1_D2_Retailer'!P7,'S1_D3_Retailer'!P7)</f>
        <v/>
      </c>
      <c r="H10" s="2">
        <f>CHOOSE(Inputs!$B$12,'S1_D1_Retailer'!K7,'S1_D2_Retailer'!K7,'S1_D3_Retailer'!K7)</f>
        <v/>
      </c>
      <c r="I10" s="2">
        <f>CHOOSE(Inputs!$B$12,'S1_D1_Retailer'!L7,'S1_D2_Retailer'!L7,'S1_D3_Retailer'!L7)</f>
        <v/>
      </c>
      <c r="J10" s="2">
        <f>CHOOSE(Inputs!$B$12,'S1_D1_Retailer'!M7,'S1_D2_Retailer'!M7,'S1_D3_Retailer'!M7)</f>
        <v/>
      </c>
      <c r="K10" s="2">
        <f>CHOOSE(Inputs!$B$12,'S1_D1_Retailer'!N7,'S1_D2_Retailer'!N7,'S1_D3_Retailer'!N7)</f>
        <v/>
      </c>
      <c r="L10" s="2">
        <f>CHOOSE(Inputs!$B$12,'S1_D1_Wholesaler'!C7,'S1_D2_Wholesaler'!C7,'S1_D3_Wholesaler'!C7)</f>
        <v/>
      </c>
      <c r="M10" s="2">
        <f>CHOOSE(Inputs!$B$12,'S1_D1_Wholesaler'!D7,'S1_D2_Wholesaler'!D7,'S1_D3_Wholesaler'!D7)</f>
        <v/>
      </c>
      <c r="N10" s="2">
        <f>CHOOSE(Inputs!$B$12,'S1_D1_Wholesaler'!H7,'S1_D2_Wholesaler'!H7,'S1_D3_Wholesaler'!H7)</f>
        <v/>
      </c>
      <c r="O10" s="2">
        <f>CHOOSE(Inputs!$B$12,'S1_D1_Wholesaler'!I7,'S1_D2_Wholesaler'!I7,'S1_D3_Wholesaler'!I7)</f>
        <v/>
      </c>
      <c r="P10" s="2">
        <f>CHOOSE(Inputs!$B$12,'S1_D1_Wholesaler'!J7,'S1_D2_Wholesaler'!J7,'S1_D3_Wholesaler'!J7)</f>
        <v/>
      </c>
      <c r="Q10" s="2">
        <f>CHOOSE(Inputs!$B$12,'S1_D1_Wholesaler'!P7,'S1_D2_Wholesaler'!P7,'S1_D3_Wholesaler'!P7)</f>
        <v/>
      </c>
      <c r="R10" s="2">
        <f>CHOOSE(Inputs!$B$12,'S1_D1_Wholesaler'!K7,'S1_D2_Wholesaler'!K7,'S1_D3_Wholesaler'!K7)</f>
        <v/>
      </c>
      <c r="S10" s="2">
        <f>CHOOSE(Inputs!$B$12,'S1_D1_Wholesaler'!L7,'S1_D2_Wholesaler'!L7,'S1_D3_Wholesaler'!L7)</f>
        <v/>
      </c>
      <c r="T10" s="2">
        <f>CHOOSE(Inputs!$B$12,'S1_D1_Wholesaler'!M7,'S1_D2_Wholesaler'!M7,'S1_D3_Wholesaler'!M7)</f>
        <v/>
      </c>
      <c r="U10" s="2">
        <f>CHOOSE(Inputs!$B$12,'S1_D1_Wholesaler'!N7,'S1_D2_Wholesaler'!N7,'S1_D3_Wholesaler'!N7)</f>
        <v/>
      </c>
      <c r="V10" s="2">
        <f>CHOOSE(Inputs!$B$12,'S1_D1_Distributor'!C7,'S1_D2_Distributor'!C7,'S1_D3_Distributor'!C7)</f>
        <v/>
      </c>
      <c r="W10" s="2">
        <f>CHOOSE(Inputs!$B$12,'S1_D1_Distributor'!D7,'S1_D2_Distributor'!D7,'S1_D3_Distributor'!D7)</f>
        <v/>
      </c>
      <c r="X10" s="2">
        <f>CHOOSE(Inputs!$B$12,'S1_D1_Distributor'!H7,'S1_D2_Distributor'!H7,'S1_D3_Distributor'!H7)</f>
        <v/>
      </c>
      <c r="Y10" s="2">
        <f>CHOOSE(Inputs!$B$12,'S1_D1_Distributor'!I7,'S1_D2_Distributor'!I7,'S1_D3_Distributor'!I7)</f>
        <v/>
      </c>
      <c r="Z10" s="2">
        <f>CHOOSE(Inputs!$B$12,'S1_D1_Distributor'!J7,'S1_D2_Distributor'!J7,'S1_D3_Distributor'!J7)</f>
        <v/>
      </c>
      <c r="AA10" s="2">
        <f>CHOOSE(Inputs!$B$12,'S1_D1_Distributor'!P7,'S1_D2_Distributor'!P7,'S1_D3_Distributor'!P7)</f>
        <v/>
      </c>
      <c r="AB10" s="2">
        <f>CHOOSE(Inputs!$B$12,'S1_D1_Distributor'!K7,'S1_D2_Distributor'!K7,'S1_D3_Distributor'!K7)</f>
        <v/>
      </c>
      <c r="AC10" s="2">
        <f>CHOOSE(Inputs!$B$12,'S1_D1_Distributor'!L7,'S1_D2_Distributor'!L7,'S1_D3_Distributor'!L7)</f>
        <v/>
      </c>
      <c r="AD10" s="2">
        <f>CHOOSE(Inputs!$B$12,'S1_D1_Distributor'!M7,'S1_D2_Distributor'!M7,'S1_D3_Distributor'!M7)</f>
        <v/>
      </c>
      <c r="AE10" s="2">
        <f>CHOOSE(Inputs!$B$12,'S1_D1_Distributor'!N7,'S1_D2_Distributor'!N7,'S1_D3_Distributor'!N7)</f>
        <v/>
      </c>
      <c r="AF10" s="2">
        <f>CHOOSE(Inputs!$B$12,'S1_D1_Factory'!C7,'S1_D2_Factory'!C7,'S1_D3_Factory'!C7)</f>
        <v/>
      </c>
      <c r="AG10" s="2">
        <f>CHOOSE(Inputs!$B$12,'S1_D1_Factory'!D7,'S1_D2_Factory'!D7,'S1_D3_Factory'!D7)</f>
        <v/>
      </c>
      <c r="AH10" s="2">
        <f>CHOOSE(Inputs!$B$12,'S1_D1_Factory'!H7,'S1_D2_Factory'!H7,'S1_D3_Factory'!H7)</f>
        <v/>
      </c>
      <c r="AI10" s="2">
        <f>CHOOSE(Inputs!$B$12,'S1_D1_Factory'!I7,'S1_D2_Factory'!I7,'S1_D3_Factory'!I7)</f>
        <v/>
      </c>
      <c r="AJ10" s="2">
        <f>CHOOSE(Inputs!$B$12,'S1_D1_Factory'!J7,'S1_D2_Factory'!J7,'S1_D3_Factory'!J7)</f>
        <v/>
      </c>
      <c r="AK10" s="2">
        <f>CHOOSE(Inputs!$B$12,'S1_D1_Factory'!P7,'S1_D2_Factory'!P7,'S1_D3_Factory'!P7)</f>
        <v/>
      </c>
      <c r="AL10" s="2">
        <f>CHOOSE(Inputs!$B$12,'S1_D1_Factory'!K7,'S1_D2_Factory'!K7,'S1_D3_Factory'!K7)</f>
        <v/>
      </c>
      <c r="AM10" s="2">
        <f>CHOOSE(Inputs!$B$12,'S1_D1_Factory'!L7,'S1_D2_Factory'!L7,'S1_D3_Factory'!L7)</f>
        <v/>
      </c>
      <c r="AN10" s="2">
        <f>CHOOSE(Inputs!$B$12,'S1_D1_Factory'!M7,'S1_D2_Factory'!M7,'S1_D3_Factory'!M7)</f>
        <v/>
      </c>
      <c r="AO10" s="2">
        <f>CHOOSE(Inputs!$B$12,'S1_D1_Factory'!N7,'S1_D2_Factory'!N7,'S1_D3_Factory'!N7)</f>
        <v/>
      </c>
      <c r="AP10" s="2">
        <f>SUM(H10,R10,AB10,AL10)</f>
        <v/>
      </c>
      <c r="AQ10" s="2">
        <f>SUM(I10,S10,AC10,AM10)</f>
        <v/>
      </c>
      <c r="AR10" s="2">
        <f>SUM(J10,T10,AD10,AN10)</f>
        <v/>
      </c>
      <c r="AS10" s="2">
        <f>AS9+AR10</f>
        <v/>
      </c>
    </row>
    <row r="11">
      <c r="A11" s="2" t="n">
        <v>7</v>
      </c>
      <c r="B11" s="2">
        <f>CHOOSE(Inputs!$B$12,'S1_D1_Retailer'!C8,'S1_D2_Retailer'!C8,'S1_D3_Retailer'!C8)</f>
        <v/>
      </c>
      <c r="C11" s="2">
        <f>CHOOSE(Inputs!$B$12,'S1_D1_Retailer'!D8,'S1_D2_Retailer'!D8,'S1_D3_Retailer'!D8)</f>
        <v/>
      </c>
      <c r="D11" s="2">
        <f>CHOOSE(Inputs!$B$12,'S1_D1_Retailer'!H8,'S1_D2_Retailer'!H8,'S1_D3_Retailer'!H8)</f>
        <v/>
      </c>
      <c r="E11" s="2">
        <f>CHOOSE(Inputs!$B$12,'S1_D1_Retailer'!I8,'S1_D2_Retailer'!I8,'S1_D3_Retailer'!I8)</f>
        <v/>
      </c>
      <c r="F11" s="2">
        <f>CHOOSE(Inputs!$B$12,'S1_D1_Retailer'!J8,'S1_D2_Retailer'!J8,'S1_D3_Retailer'!J8)</f>
        <v/>
      </c>
      <c r="G11" s="2">
        <f>CHOOSE(Inputs!$B$12,'S1_D1_Retailer'!P8,'S1_D2_Retailer'!P8,'S1_D3_Retailer'!P8)</f>
        <v/>
      </c>
      <c r="H11" s="2">
        <f>CHOOSE(Inputs!$B$12,'S1_D1_Retailer'!K8,'S1_D2_Retailer'!K8,'S1_D3_Retailer'!K8)</f>
        <v/>
      </c>
      <c r="I11" s="2">
        <f>CHOOSE(Inputs!$B$12,'S1_D1_Retailer'!L8,'S1_D2_Retailer'!L8,'S1_D3_Retailer'!L8)</f>
        <v/>
      </c>
      <c r="J11" s="2">
        <f>CHOOSE(Inputs!$B$12,'S1_D1_Retailer'!M8,'S1_D2_Retailer'!M8,'S1_D3_Retailer'!M8)</f>
        <v/>
      </c>
      <c r="K11" s="2">
        <f>CHOOSE(Inputs!$B$12,'S1_D1_Retailer'!N8,'S1_D2_Retailer'!N8,'S1_D3_Retailer'!N8)</f>
        <v/>
      </c>
      <c r="L11" s="2">
        <f>CHOOSE(Inputs!$B$12,'S1_D1_Wholesaler'!C8,'S1_D2_Wholesaler'!C8,'S1_D3_Wholesaler'!C8)</f>
        <v/>
      </c>
      <c r="M11" s="2">
        <f>CHOOSE(Inputs!$B$12,'S1_D1_Wholesaler'!D8,'S1_D2_Wholesaler'!D8,'S1_D3_Wholesaler'!D8)</f>
        <v/>
      </c>
      <c r="N11" s="2">
        <f>CHOOSE(Inputs!$B$12,'S1_D1_Wholesaler'!H8,'S1_D2_Wholesaler'!H8,'S1_D3_Wholesaler'!H8)</f>
        <v/>
      </c>
      <c r="O11" s="2">
        <f>CHOOSE(Inputs!$B$12,'S1_D1_Wholesaler'!I8,'S1_D2_Wholesaler'!I8,'S1_D3_Wholesaler'!I8)</f>
        <v/>
      </c>
      <c r="P11" s="2">
        <f>CHOOSE(Inputs!$B$12,'S1_D1_Wholesaler'!J8,'S1_D2_Wholesaler'!J8,'S1_D3_Wholesaler'!J8)</f>
        <v/>
      </c>
      <c r="Q11" s="2">
        <f>CHOOSE(Inputs!$B$12,'S1_D1_Wholesaler'!P8,'S1_D2_Wholesaler'!P8,'S1_D3_Wholesaler'!P8)</f>
        <v/>
      </c>
      <c r="R11" s="2">
        <f>CHOOSE(Inputs!$B$12,'S1_D1_Wholesaler'!K8,'S1_D2_Wholesaler'!K8,'S1_D3_Wholesaler'!K8)</f>
        <v/>
      </c>
      <c r="S11" s="2">
        <f>CHOOSE(Inputs!$B$12,'S1_D1_Wholesaler'!L8,'S1_D2_Wholesaler'!L8,'S1_D3_Wholesaler'!L8)</f>
        <v/>
      </c>
      <c r="T11" s="2">
        <f>CHOOSE(Inputs!$B$12,'S1_D1_Wholesaler'!M8,'S1_D2_Wholesaler'!M8,'S1_D3_Wholesaler'!M8)</f>
        <v/>
      </c>
      <c r="U11" s="2">
        <f>CHOOSE(Inputs!$B$12,'S1_D1_Wholesaler'!N8,'S1_D2_Wholesaler'!N8,'S1_D3_Wholesaler'!N8)</f>
        <v/>
      </c>
      <c r="V11" s="2">
        <f>CHOOSE(Inputs!$B$12,'S1_D1_Distributor'!C8,'S1_D2_Distributor'!C8,'S1_D3_Distributor'!C8)</f>
        <v/>
      </c>
      <c r="W11" s="2">
        <f>CHOOSE(Inputs!$B$12,'S1_D1_Distributor'!D8,'S1_D2_Distributor'!D8,'S1_D3_Distributor'!D8)</f>
        <v/>
      </c>
      <c r="X11" s="2">
        <f>CHOOSE(Inputs!$B$12,'S1_D1_Distributor'!H8,'S1_D2_Distributor'!H8,'S1_D3_Distributor'!H8)</f>
        <v/>
      </c>
      <c r="Y11" s="2">
        <f>CHOOSE(Inputs!$B$12,'S1_D1_Distributor'!I8,'S1_D2_Distributor'!I8,'S1_D3_Distributor'!I8)</f>
        <v/>
      </c>
      <c r="Z11" s="2">
        <f>CHOOSE(Inputs!$B$12,'S1_D1_Distributor'!J8,'S1_D2_Distributor'!J8,'S1_D3_Distributor'!J8)</f>
        <v/>
      </c>
      <c r="AA11" s="2">
        <f>CHOOSE(Inputs!$B$12,'S1_D1_Distributor'!P8,'S1_D2_Distributor'!P8,'S1_D3_Distributor'!P8)</f>
        <v/>
      </c>
      <c r="AB11" s="2">
        <f>CHOOSE(Inputs!$B$12,'S1_D1_Distributor'!K8,'S1_D2_Distributor'!K8,'S1_D3_Distributor'!K8)</f>
        <v/>
      </c>
      <c r="AC11" s="2">
        <f>CHOOSE(Inputs!$B$12,'S1_D1_Distributor'!L8,'S1_D2_Distributor'!L8,'S1_D3_Distributor'!L8)</f>
        <v/>
      </c>
      <c r="AD11" s="2">
        <f>CHOOSE(Inputs!$B$12,'S1_D1_Distributor'!M8,'S1_D2_Distributor'!M8,'S1_D3_Distributor'!M8)</f>
        <v/>
      </c>
      <c r="AE11" s="2">
        <f>CHOOSE(Inputs!$B$12,'S1_D1_Distributor'!N8,'S1_D2_Distributor'!N8,'S1_D3_Distributor'!N8)</f>
        <v/>
      </c>
      <c r="AF11" s="2">
        <f>CHOOSE(Inputs!$B$12,'S1_D1_Factory'!C8,'S1_D2_Factory'!C8,'S1_D3_Factory'!C8)</f>
        <v/>
      </c>
      <c r="AG11" s="2">
        <f>CHOOSE(Inputs!$B$12,'S1_D1_Factory'!D8,'S1_D2_Factory'!D8,'S1_D3_Factory'!D8)</f>
        <v/>
      </c>
      <c r="AH11" s="2">
        <f>CHOOSE(Inputs!$B$12,'S1_D1_Factory'!H8,'S1_D2_Factory'!H8,'S1_D3_Factory'!H8)</f>
        <v/>
      </c>
      <c r="AI11" s="2">
        <f>CHOOSE(Inputs!$B$12,'S1_D1_Factory'!I8,'S1_D2_Factory'!I8,'S1_D3_Factory'!I8)</f>
        <v/>
      </c>
      <c r="AJ11" s="2">
        <f>CHOOSE(Inputs!$B$12,'S1_D1_Factory'!J8,'S1_D2_Factory'!J8,'S1_D3_Factory'!J8)</f>
        <v/>
      </c>
      <c r="AK11" s="2">
        <f>CHOOSE(Inputs!$B$12,'S1_D1_Factory'!P8,'S1_D2_Factory'!P8,'S1_D3_Factory'!P8)</f>
        <v/>
      </c>
      <c r="AL11" s="2">
        <f>CHOOSE(Inputs!$B$12,'S1_D1_Factory'!K8,'S1_D2_Factory'!K8,'S1_D3_Factory'!K8)</f>
        <v/>
      </c>
      <c r="AM11" s="2">
        <f>CHOOSE(Inputs!$B$12,'S1_D1_Factory'!L8,'S1_D2_Factory'!L8,'S1_D3_Factory'!L8)</f>
        <v/>
      </c>
      <c r="AN11" s="2">
        <f>CHOOSE(Inputs!$B$12,'S1_D1_Factory'!M8,'S1_D2_Factory'!M8,'S1_D3_Factory'!M8)</f>
        <v/>
      </c>
      <c r="AO11" s="2">
        <f>CHOOSE(Inputs!$B$12,'S1_D1_Factory'!N8,'S1_D2_Factory'!N8,'S1_D3_Factory'!N8)</f>
        <v/>
      </c>
      <c r="AP11" s="2">
        <f>SUM(H11,R11,AB11,AL11)</f>
        <v/>
      </c>
      <c r="AQ11" s="2">
        <f>SUM(I11,S11,AC11,AM11)</f>
        <v/>
      </c>
      <c r="AR11" s="2">
        <f>SUM(J11,T11,AD11,AN11)</f>
        <v/>
      </c>
      <c r="AS11" s="2">
        <f>AS10+AR11</f>
        <v/>
      </c>
    </row>
    <row r="12">
      <c r="A12" s="2" t="n">
        <v>8</v>
      </c>
      <c r="B12" s="2">
        <f>CHOOSE(Inputs!$B$12,'S1_D1_Retailer'!C9,'S1_D2_Retailer'!C9,'S1_D3_Retailer'!C9)</f>
        <v/>
      </c>
      <c r="C12" s="2">
        <f>CHOOSE(Inputs!$B$12,'S1_D1_Retailer'!D9,'S1_D2_Retailer'!D9,'S1_D3_Retailer'!D9)</f>
        <v/>
      </c>
      <c r="D12" s="2">
        <f>CHOOSE(Inputs!$B$12,'S1_D1_Retailer'!H9,'S1_D2_Retailer'!H9,'S1_D3_Retailer'!H9)</f>
        <v/>
      </c>
      <c r="E12" s="2">
        <f>CHOOSE(Inputs!$B$12,'S1_D1_Retailer'!I9,'S1_D2_Retailer'!I9,'S1_D3_Retailer'!I9)</f>
        <v/>
      </c>
      <c r="F12" s="2">
        <f>CHOOSE(Inputs!$B$12,'S1_D1_Retailer'!J9,'S1_D2_Retailer'!J9,'S1_D3_Retailer'!J9)</f>
        <v/>
      </c>
      <c r="G12" s="2">
        <f>CHOOSE(Inputs!$B$12,'S1_D1_Retailer'!P9,'S1_D2_Retailer'!P9,'S1_D3_Retailer'!P9)</f>
        <v/>
      </c>
      <c r="H12" s="2">
        <f>CHOOSE(Inputs!$B$12,'S1_D1_Retailer'!K9,'S1_D2_Retailer'!K9,'S1_D3_Retailer'!K9)</f>
        <v/>
      </c>
      <c r="I12" s="2">
        <f>CHOOSE(Inputs!$B$12,'S1_D1_Retailer'!L9,'S1_D2_Retailer'!L9,'S1_D3_Retailer'!L9)</f>
        <v/>
      </c>
      <c r="J12" s="2">
        <f>CHOOSE(Inputs!$B$12,'S1_D1_Retailer'!M9,'S1_D2_Retailer'!M9,'S1_D3_Retailer'!M9)</f>
        <v/>
      </c>
      <c r="K12" s="2">
        <f>CHOOSE(Inputs!$B$12,'S1_D1_Retailer'!N9,'S1_D2_Retailer'!N9,'S1_D3_Retailer'!N9)</f>
        <v/>
      </c>
      <c r="L12" s="2">
        <f>CHOOSE(Inputs!$B$12,'S1_D1_Wholesaler'!C9,'S1_D2_Wholesaler'!C9,'S1_D3_Wholesaler'!C9)</f>
        <v/>
      </c>
      <c r="M12" s="2">
        <f>CHOOSE(Inputs!$B$12,'S1_D1_Wholesaler'!D9,'S1_D2_Wholesaler'!D9,'S1_D3_Wholesaler'!D9)</f>
        <v/>
      </c>
      <c r="N12" s="2">
        <f>CHOOSE(Inputs!$B$12,'S1_D1_Wholesaler'!H9,'S1_D2_Wholesaler'!H9,'S1_D3_Wholesaler'!H9)</f>
        <v/>
      </c>
      <c r="O12" s="2">
        <f>CHOOSE(Inputs!$B$12,'S1_D1_Wholesaler'!I9,'S1_D2_Wholesaler'!I9,'S1_D3_Wholesaler'!I9)</f>
        <v/>
      </c>
      <c r="P12" s="2">
        <f>CHOOSE(Inputs!$B$12,'S1_D1_Wholesaler'!J9,'S1_D2_Wholesaler'!J9,'S1_D3_Wholesaler'!J9)</f>
        <v/>
      </c>
      <c r="Q12" s="2">
        <f>CHOOSE(Inputs!$B$12,'S1_D1_Wholesaler'!P9,'S1_D2_Wholesaler'!P9,'S1_D3_Wholesaler'!P9)</f>
        <v/>
      </c>
      <c r="R12" s="2">
        <f>CHOOSE(Inputs!$B$12,'S1_D1_Wholesaler'!K9,'S1_D2_Wholesaler'!K9,'S1_D3_Wholesaler'!K9)</f>
        <v/>
      </c>
      <c r="S12" s="2">
        <f>CHOOSE(Inputs!$B$12,'S1_D1_Wholesaler'!L9,'S1_D2_Wholesaler'!L9,'S1_D3_Wholesaler'!L9)</f>
        <v/>
      </c>
      <c r="T12" s="2">
        <f>CHOOSE(Inputs!$B$12,'S1_D1_Wholesaler'!M9,'S1_D2_Wholesaler'!M9,'S1_D3_Wholesaler'!M9)</f>
        <v/>
      </c>
      <c r="U12" s="2">
        <f>CHOOSE(Inputs!$B$12,'S1_D1_Wholesaler'!N9,'S1_D2_Wholesaler'!N9,'S1_D3_Wholesaler'!N9)</f>
        <v/>
      </c>
      <c r="V12" s="2">
        <f>CHOOSE(Inputs!$B$12,'S1_D1_Distributor'!C9,'S1_D2_Distributor'!C9,'S1_D3_Distributor'!C9)</f>
        <v/>
      </c>
      <c r="W12" s="2">
        <f>CHOOSE(Inputs!$B$12,'S1_D1_Distributor'!D9,'S1_D2_Distributor'!D9,'S1_D3_Distributor'!D9)</f>
        <v/>
      </c>
      <c r="X12" s="2">
        <f>CHOOSE(Inputs!$B$12,'S1_D1_Distributor'!H9,'S1_D2_Distributor'!H9,'S1_D3_Distributor'!H9)</f>
        <v/>
      </c>
      <c r="Y12" s="2">
        <f>CHOOSE(Inputs!$B$12,'S1_D1_Distributor'!I9,'S1_D2_Distributor'!I9,'S1_D3_Distributor'!I9)</f>
        <v/>
      </c>
      <c r="Z12" s="2">
        <f>CHOOSE(Inputs!$B$12,'S1_D1_Distributor'!J9,'S1_D2_Distributor'!J9,'S1_D3_Distributor'!J9)</f>
        <v/>
      </c>
      <c r="AA12" s="2">
        <f>CHOOSE(Inputs!$B$12,'S1_D1_Distributor'!P9,'S1_D2_Distributor'!P9,'S1_D3_Distributor'!P9)</f>
        <v/>
      </c>
      <c r="AB12" s="2">
        <f>CHOOSE(Inputs!$B$12,'S1_D1_Distributor'!K9,'S1_D2_Distributor'!K9,'S1_D3_Distributor'!K9)</f>
        <v/>
      </c>
      <c r="AC12" s="2">
        <f>CHOOSE(Inputs!$B$12,'S1_D1_Distributor'!L9,'S1_D2_Distributor'!L9,'S1_D3_Distributor'!L9)</f>
        <v/>
      </c>
      <c r="AD12" s="2">
        <f>CHOOSE(Inputs!$B$12,'S1_D1_Distributor'!M9,'S1_D2_Distributor'!M9,'S1_D3_Distributor'!M9)</f>
        <v/>
      </c>
      <c r="AE12" s="2">
        <f>CHOOSE(Inputs!$B$12,'S1_D1_Distributor'!N9,'S1_D2_Distributor'!N9,'S1_D3_Distributor'!N9)</f>
        <v/>
      </c>
      <c r="AF12" s="2">
        <f>CHOOSE(Inputs!$B$12,'S1_D1_Factory'!C9,'S1_D2_Factory'!C9,'S1_D3_Factory'!C9)</f>
        <v/>
      </c>
      <c r="AG12" s="2">
        <f>CHOOSE(Inputs!$B$12,'S1_D1_Factory'!D9,'S1_D2_Factory'!D9,'S1_D3_Factory'!D9)</f>
        <v/>
      </c>
      <c r="AH12" s="2">
        <f>CHOOSE(Inputs!$B$12,'S1_D1_Factory'!H9,'S1_D2_Factory'!H9,'S1_D3_Factory'!H9)</f>
        <v/>
      </c>
      <c r="AI12" s="2">
        <f>CHOOSE(Inputs!$B$12,'S1_D1_Factory'!I9,'S1_D2_Factory'!I9,'S1_D3_Factory'!I9)</f>
        <v/>
      </c>
      <c r="AJ12" s="2">
        <f>CHOOSE(Inputs!$B$12,'S1_D1_Factory'!J9,'S1_D2_Factory'!J9,'S1_D3_Factory'!J9)</f>
        <v/>
      </c>
      <c r="AK12" s="2">
        <f>CHOOSE(Inputs!$B$12,'S1_D1_Factory'!P9,'S1_D2_Factory'!P9,'S1_D3_Factory'!P9)</f>
        <v/>
      </c>
      <c r="AL12" s="2">
        <f>CHOOSE(Inputs!$B$12,'S1_D1_Factory'!K9,'S1_D2_Factory'!K9,'S1_D3_Factory'!K9)</f>
        <v/>
      </c>
      <c r="AM12" s="2">
        <f>CHOOSE(Inputs!$B$12,'S1_D1_Factory'!L9,'S1_D2_Factory'!L9,'S1_D3_Factory'!L9)</f>
        <v/>
      </c>
      <c r="AN12" s="2">
        <f>CHOOSE(Inputs!$B$12,'S1_D1_Factory'!M9,'S1_D2_Factory'!M9,'S1_D3_Factory'!M9)</f>
        <v/>
      </c>
      <c r="AO12" s="2">
        <f>CHOOSE(Inputs!$B$12,'S1_D1_Factory'!N9,'S1_D2_Factory'!N9,'S1_D3_Factory'!N9)</f>
        <v/>
      </c>
      <c r="AP12" s="2">
        <f>SUM(H12,R12,AB12,AL12)</f>
        <v/>
      </c>
      <c r="AQ12" s="2">
        <f>SUM(I12,S12,AC12,AM12)</f>
        <v/>
      </c>
      <c r="AR12" s="2">
        <f>SUM(J12,T12,AD12,AN12)</f>
        <v/>
      </c>
      <c r="AS12" s="2">
        <f>AS11+AR12</f>
        <v/>
      </c>
    </row>
    <row r="13">
      <c r="A13" s="2" t="n">
        <v>9</v>
      </c>
      <c r="B13" s="2">
        <f>CHOOSE(Inputs!$B$12,'S1_D1_Retailer'!C10,'S1_D2_Retailer'!C10,'S1_D3_Retailer'!C10)</f>
        <v/>
      </c>
      <c r="C13" s="2">
        <f>CHOOSE(Inputs!$B$12,'S1_D1_Retailer'!D10,'S1_D2_Retailer'!D10,'S1_D3_Retailer'!D10)</f>
        <v/>
      </c>
      <c r="D13" s="2">
        <f>CHOOSE(Inputs!$B$12,'S1_D1_Retailer'!H10,'S1_D2_Retailer'!H10,'S1_D3_Retailer'!H10)</f>
        <v/>
      </c>
      <c r="E13" s="2">
        <f>CHOOSE(Inputs!$B$12,'S1_D1_Retailer'!I10,'S1_D2_Retailer'!I10,'S1_D3_Retailer'!I10)</f>
        <v/>
      </c>
      <c r="F13" s="2">
        <f>CHOOSE(Inputs!$B$12,'S1_D1_Retailer'!J10,'S1_D2_Retailer'!J10,'S1_D3_Retailer'!J10)</f>
        <v/>
      </c>
      <c r="G13" s="2">
        <f>CHOOSE(Inputs!$B$12,'S1_D1_Retailer'!P10,'S1_D2_Retailer'!P10,'S1_D3_Retailer'!P10)</f>
        <v/>
      </c>
      <c r="H13" s="2">
        <f>CHOOSE(Inputs!$B$12,'S1_D1_Retailer'!K10,'S1_D2_Retailer'!K10,'S1_D3_Retailer'!K10)</f>
        <v/>
      </c>
      <c r="I13" s="2">
        <f>CHOOSE(Inputs!$B$12,'S1_D1_Retailer'!L10,'S1_D2_Retailer'!L10,'S1_D3_Retailer'!L10)</f>
        <v/>
      </c>
      <c r="J13" s="2">
        <f>CHOOSE(Inputs!$B$12,'S1_D1_Retailer'!M10,'S1_D2_Retailer'!M10,'S1_D3_Retailer'!M10)</f>
        <v/>
      </c>
      <c r="K13" s="2">
        <f>CHOOSE(Inputs!$B$12,'S1_D1_Retailer'!N10,'S1_D2_Retailer'!N10,'S1_D3_Retailer'!N10)</f>
        <v/>
      </c>
      <c r="L13" s="2">
        <f>CHOOSE(Inputs!$B$12,'S1_D1_Wholesaler'!C10,'S1_D2_Wholesaler'!C10,'S1_D3_Wholesaler'!C10)</f>
        <v/>
      </c>
      <c r="M13" s="2">
        <f>CHOOSE(Inputs!$B$12,'S1_D1_Wholesaler'!D10,'S1_D2_Wholesaler'!D10,'S1_D3_Wholesaler'!D10)</f>
        <v/>
      </c>
      <c r="N13" s="2">
        <f>CHOOSE(Inputs!$B$12,'S1_D1_Wholesaler'!H10,'S1_D2_Wholesaler'!H10,'S1_D3_Wholesaler'!H10)</f>
        <v/>
      </c>
      <c r="O13" s="2">
        <f>CHOOSE(Inputs!$B$12,'S1_D1_Wholesaler'!I10,'S1_D2_Wholesaler'!I10,'S1_D3_Wholesaler'!I10)</f>
        <v/>
      </c>
      <c r="P13" s="2">
        <f>CHOOSE(Inputs!$B$12,'S1_D1_Wholesaler'!J10,'S1_D2_Wholesaler'!J10,'S1_D3_Wholesaler'!J10)</f>
        <v/>
      </c>
      <c r="Q13" s="2">
        <f>CHOOSE(Inputs!$B$12,'S1_D1_Wholesaler'!P10,'S1_D2_Wholesaler'!P10,'S1_D3_Wholesaler'!P10)</f>
        <v/>
      </c>
      <c r="R13" s="2">
        <f>CHOOSE(Inputs!$B$12,'S1_D1_Wholesaler'!K10,'S1_D2_Wholesaler'!K10,'S1_D3_Wholesaler'!K10)</f>
        <v/>
      </c>
      <c r="S13" s="2">
        <f>CHOOSE(Inputs!$B$12,'S1_D1_Wholesaler'!L10,'S1_D2_Wholesaler'!L10,'S1_D3_Wholesaler'!L10)</f>
        <v/>
      </c>
      <c r="T13" s="2">
        <f>CHOOSE(Inputs!$B$12,'S1_D1_Wholesaler'!M10,'S1_D2_Wholesaler'!M10,'S1_D3_Wholesaler'!M10)</f>
        <v/>
      </c>
      <c r="U13" s="2">
        <f>CHOOSE(Inputs!$B$12,'S1_D1_Wholesaler'!N10,'S1_D2_Wholesaler'!N10,'S1_D3_Wholesaler'!N10)</f>
        <v/>
      </c>
      <c r="V13" s="2">
        <f>CHOOSE(Inputs!$B$12,'S1_D1_Distributor'!C10,'S1_D2_Distributor'!C10,'S1_D3_Distributor'!C10)</f>
        <v/>
      </c>
      <c r="W13" s="2">
        <f>CHOOSE(Inputs!$B$12,'S1_D1_Distributor'!D10,'S1_D2_Distributor'!D10,'S1_D3_Distributor'!D10)</f>
        <v/>
      </c>
      <c r="X13" s="2">
        <f>CHOOSE(Inputs!$B$12,'S1_D1_Distributor'!H10,'S1_D2_Distributor'!H10,'S1_D3_Distributor'!H10)</f>
        <v/>
      </c>
      <c r="Y13" s="2">
        <f>CHOOSE(Inputs!$B$12,'S1_D1_Distributor'!I10,'S1_D2_Distributor'!I10,'S1_D3_Distributor'!I10)</f>
        <v/>
      </c>
      <c r="Z13" s="2">
        <f>CHOOSE(Inputs!$B$12,'S1_D1_Distributor'!J10,'S1_D2_Distributor'!J10,'S1_D3_Distributor'!J10)</f>
        <v/>
      </c>
      <c r="AA13" s="2">
        <f>CHOOSE(Inputs!$B$12,'S1_D1_Distributor'!P10,'S1_D2_Distributor'!P10,'S1_D3_Distributor'!P10)</f>
        <v/>
      </c>
      <c r="AB13" s="2">
        <f>CHOOSE(Inputs!$B$12,'S1_D1_Distributor'!K10,'S1_D2_Distributor'!K10,'S1_D3_Distributor'!K10)</f>
        <v/>
      </c>
      <c r="AC13" s="2">
        <f>CHOOSE(Inputs!$B$12,'S1_D1_Distributor'!L10,'S1_D2_Distributor'!L10,'S1_D3_Distributor'!L10)</f>
        <v/>
      </c>
      <c r="AD13" s="2">
        <f>CHOOSE(Inputs!$B$12,'S1_D1_Distributor'!M10,'S1_D2_Distributor'!M10,'S1_D3_Distributor'!M10)</f>
        <v/>
      </c>
      <c r="AE13" s="2">
        <f>CHOOSE(Inputs!$B$12,'S1_D1_Distributor'!N10,'S1_D2_Distributor'!N10,'S1_D3_Distributor'!N10)</f>
        <v/>
      </c>
      <c r="AF13" s="2">
        <f>CHOOSE(Inputs!$B$12,'S1_D1_Factory'!C10,'S1_D2_Factory'!C10,'S1_D3_Factory'!C10)</f>
        <v/>
      </c>
      <c r="AG13" s="2">
        <f>CHOOSE(Inputs!$B$12,'S1_D1_Factory'!D10,'S1_D2_Factory'!D10,'S1_D3_Factory'!D10)</f>
        <v/>
      </c>
      <c r="AH13" s="2">
        <f>CHOOSE(Inputs!$B$12,'S1_D1_Factory'!H10,'S1_D2_Factory'!H10,'S1_D3_Factory'!H10)</f>
        <v/>
      </c>
      <c r="AI13" s="2">
        <f>CHOOSE(Inputs!$B$12,'S1_D1_Factory'!I10,'S1_D2_Factory'!I10,'S1_D3_Factory'!I10)</f>
        <v/>
      </c>
      <c r="AJ13" s="2">
        <f>CHOOSE(Inputs!$B$12,'S1_D1_Factory'!J10,'S1_D2_Factory'!J10,'S1_D3_Factory'!J10)</f>
        <v/>
      </c>
      <c r="AK13" s="2">
        <f>CHOOSE(Inputs!$B$12,'S1_D1_Factory'!P10,'S1_D2_Factory'!P10,'S1_D3_Factory'!P10)</f>
        <v/>
      </c>
      <c r="AL13" s="2">
        <f>CHOOSE(Inputs!$B$12,'S1_D1_Factory'!K10,'S1_D2_Factory'!K10,'S1_D3_Factory'!K10)</f>
        <v/>
      </c>
      <c r="AM13" s="2">
        <f>CHOOSE(Inputs!$B$12,'S1_D1_Factory'!L10,'S1_D2_Factory'!L10,'S1_D3_Factory'!L10)</f>
        <v/>
      </c>
      <c r="AN13" s="2">
        <f>CHOOSE(Inputs!$B$12,'S1_D1_Factory'!M10,'S1_D2_Factory'!M10,'S1_D3_Factory'!M10)</f>
        <v/>
      </c>
      <c r="AO13" s="2">
        <f>CHOOSE(Inputs!$B$12,'S1_D1_Factory'!N10,'S1_D2_Factory'!N10,'S1_D3_Factory'!N10)</f>
        <v/>
      </c>
      <c r="AP13" s="2">
        <f>SUM(H13,R13,AB13,AL13)</f>
        <v/>
      </c>
      <c r="AQ13" s="2">
        <f>SUM(I13,S13,AC13,AM13)</f>
        <v/>
      </c>
      <c r="AR13" s="2">
        <f>SUM(J13,T13,AD13,AN13)</f>
        <v/>
      </c>
      <c r="AS13" s="2">
        <f>AS12+AR13</f>
        <v/>
      </c>
    </row>
    <row r="14">
      <c r="A14" s="2" t="n">
        <v>10</v>
      </c>
      <c r="B14" s="2">
        <f>CHOOSE(Inputs!$B$12,'S1_D1_Retailer'!C11,'S1_D2_Retailer'!C11,'S1_D3_Retailer'!C11)</f>
        <v/>
      </c>
      <c r="C14" s="2">
        <f>CHOOSE(Inputs!$B$12,'S1_D1_Retailer'!D11,'S1_D2_Retailer'!D11,'S1_D3_Retailer'!D11)</f>
        <v/>
      </c>
      <c r="D14" s="2">
        <f>CHOOSE(Inputs!$B$12,'S1_D1_Retailer'!H11,'S1_D2_Retailer'!H11,'S1_D3_Retailer'!H11)</f>
        <v/>
      </c>
      <c r="E14" s="2">
        <f>CHOOSE(Inputs!$B$12,'S1_D1_Retailer'!I11,'S1_D2_Retailer'!I11,'S1_D3_Retailer'!I11)</f>
        <v/>
      </c>
      <c r="F14" s="2">
        <f>CHOOSE(Inputs!$B$12,'S1_D1_Retailer'!J11,'S1_D2_Retailer'!J11,'S1_D3_Retailer'!J11)</f>
        <v/>
      </c>
      <c r="G14" s="2">
        <f>CHOOSE(Inputs!$B$12,'S1_D1_Retailer'!P11,'S1_D2_Retailer'!P11,'S1_D3_Retailer'!P11)</f>
        <v/>
      </c>
      <c r="H14" s="2">
        <f>CHOOSE(Inputs!$B$12,'S1_D1_Retailer'!K11,'S1_D2_Retailer'!K11,'S1_D3_Retailer'!K11)</f>
        <v/>
      </c>
      <c r="I14" s="2">
        <f>CHOOSE(Inputs!$B$12,'S1_D1_Retailer'!L11,'S1_D2_Retailer'!L11,'S1_D3_Retailer'!L11)</f>
        <v/>
      </c>
      <c r="J14" s="2">
        <f>CHOOSE(Inputs!$B$12,'S1_D1_Retailer'!M11,'S1_D2_Retailer'!M11,'S1_D3_Retailer'!M11)</f>
        <v/>
      </c>
      <c r="K14" s="2">
        <f>CHOOSE(Inputs!$B$12,'S1_D1_Retailer'!N11,'S1_D2_Retailer'!N11,'S1_D3_Retailer'!N11)</f>
        <v/>
      </c>
      <c r="L14" s="2">
        <f>CHOOSE(Inputs!$B$12,'S1_D1_Wholesaler'!C11,'S1_D2_Wholesaler'!C11,'S1_D3_Wholesaler'!C11)</f>
        <v/>
      </c>
      <c r="M14" s="2">
        <f>CHOOSE(Inputs!$B$12,'S1_D1_Wholesaler'!D11,'S1_D2_Wholesaler'!D11,'S1_D3_Wholesaler'!D11)</f>
        <v/>
      </c>
      <c r="N14" s="2">
        <f>CHOOSE(Inputs!$B$12,'S1_D1_Wholesaler'!H11,'S1_D2_Wholesaler'!H11,'S1_D3_Wholesaler'!H11)</f>
        <v/>
      </c>
      <c r="O14" s="2">
        <f>CHOOSE(Inputs!$B$12,'S1_D1_Wholesaler'!I11,'S1_D2_Wholesaler'!I11,'S1_D3_Wholesaler'!I11)</f>
        <v/>
      </c>
      <c r="P14" s="2">
        <f>CHOOSE(Inputs!$B$12,'S1_D1_Wholesaler'!J11,'S1_D2_Wholesaler'!J11,'S1_D3_Wholesaler'!J11)</f>
        <v/>
      </c>
      <c r="Q14" s="2">
        <f>CHOOSE(Inputs!$B$12,'S1_D1_Wholesaler'!P11,'S1_D2_Wholesaler'!P11,'S1_D3_Wholesaler'!P11)</f>
        <v/>
      </c>
      <c r="R14" s="2">
        <f>CHOOSE(Inputs!$B$12,'S1_D1_Wholesaler'!K11,'S1_D2_Wholesaler'!K11,'S1_D3_Wholesaler'!K11)</f>
        <v/>
      </c>
      <c r="S14" s="2">
        <f>CHOOSE(Inputs!$B$12,'S1_D1_Wholesaler'!L11,'S1_D2_Wholesaler'!L11,'S1_D3_Wholesaler'!L11)</f>
        <v/>
      </c>
      <c r="T14" s="2">
        <f>CHOOSE(Inputs!$B$12,'S1_D1_Wholesaler'!M11,'S1_D2_Wholesaler'!M11,'S1_D3_Wholesaler'!M11)</f>
        <v/>
      </c>
      <c r="U14" s="2">
        <f>CHOOSE(Inputs!$B$12,'S1_D1_Wholesaler'!N11,'S1_D2_Wholesaler'!N11,'S1_D3_Wholesaler'!N11)</f>
        <v/>
      </c>
      <c r="V14" s="2">
        <f>CHOOSE(Inputs!$B$12,'S1_D1_Distributor'!C11,'S1_D2_Distributor'!C11,'S1_D3_Distributor'!C11)</f>
        <v/>
      </c>
      <c r="W14" s="2">
        <f>CHOOSE(Inputs!$B$12,'S1_D1_Distributor'!D11,'S1_D2_Distributor'!D11,'S1_D3_Distributor'!D11)</f>
        <v/>
      </c>
      <c r="X14" s="2">
        <f>CHOOSE(Inputs!$B$12,'S1_D1_Distributor'!H11,'S1_D2_Distributor'!H11,'S1_D3_Distributor'!H11)</f>
        <v/>
      </c>
      <c r="Y14" s="2">
        <f>CHOOSE(Inputs!$B$12,'S1_D1_Distributor'!I11,'S1_D2_Distributor'!I11,'S1_D3_Distributor'!I11)</f>
        <v/>
      </c>
      <c r="Z14" s="2">
        <f>CHOOSE(Inputs!$B$12,'S1_D1_Distributor'!J11,'S1_D2_Distributor'!J11,'S1_D3_Distributor'!J11)</f>
        <v/>
      </c>
      <c r="AA14" s="2">
        <f>CHOOSE(Inputs!$B$12,'S1_D1_Distributor'!P11,'S1_D2_Distributor'!P11,'S1_D3_Distributor'!P11)</f>
        <v/>
      </c>
      <c r="AB14" s="2">
        <f>CHOOSE(Inputs!$B$12,'S1_D1_Distributor'!K11,'S1_D2_Distributor'!K11,'S1_D3_Distributor'!K11)</f>
        <v/>
      </c>
      <c r="AC14" s="2">
        <f>CHOOSE(Inputs!$B$12,'S1_D1_Distributor'!L11,'S1_D2_Distributor'!L11,'S1_D3_Distributor'!L11)</f>
        <v/>
      </c>
      <c r="AD14" s="2">
        <f>CHOOSE(Inputs!$B$12,'S1_D1_Distributor'!M11,'S1_D2_Distributor'!M11,'S1_D3_Distributor'!M11)</f>
        <v/>
      </c>
      <c r="AE14" s="2">
        <f>CHOOSE(Inputs!$B$12,'S1_D1_Distributor'!N11,'S1_D2_Distributor'!N11,'S1_D3_Distributor'!N11)</f>
        <v/>
      </c>
      <c r="AF14" s="2">
        <f>CHOOSE(Inputs!$B$12,'S1_D1_Factory'!C11,'S1_D2_Factory'!C11,'S1_D3_Factory'!C11)</f>
        <v/>
      </c>
      <c r="AG14" s="2">
        <f>CHOOSE(Inputs!$B$12,'S1_D1_Factory'!D11,'S1_D2_Factory'!D11,'S1_D3_Factory'!D11)</f>
        <v/>
      </c>
      <c r="AH14" s="2">
        <f>CHOOSE(Inputs!$B$12,'S1_D1_Factory'!H11,'S1_D2_Factory'!H11,'S1_D3_Factory'!H11)</f>
        <v/>
      </c>
      <c r="AI14" s="2">
        <f>CHOOSE(Inputs!$B$12,'S1_D1_Factory'!I11,'S1_D2_Factory'!I11,'S1_D3_Factory'!I11)</f>
        <v/>
      </c>
      <c r="AJ14" s="2">
        <f>CHOOSE(Inputs!$B$12,'S1_D1_Factory'!J11,'S1_D2_Factory'!J11,'S1_D3_Factory'!J11)</f>
        <v/>
      </c>
      <c r="AK14" s="2">
        <f>CHOOSE(Inputs!$B$12,'S1_D1_Factory'!P11,'S1_D2_Factory'!P11,'S1_D3_Factory'!P11)</f>
        <v/>
      </c>
      <c r="AL14" s="2">
        <f>CHOOSE(Inputs!$B$12,'S1_D1_Factory'!K11,'S1_D2_Factory'!K11,'S1_D3_Factory'!K11)</f>
        <v/>
      </c>
      <c r="AM14" s="2">
        <f>CHOOSE(Inputs!$B$12,'S1_D1_Factory'!L11,'S1_D2_Factory'!L11,'S1_D3_Factory'!L11)</f>
        <v/>
      </c>
      <c r="AN14" s="2">
        <f>CHOOSE(Inputs!$B$12,'S1_D1_Factory'!M11,'S1_D2_Factory'!M11,'S1_D3_Factory'!M11)</f>
        <v/>
      </c>
      <c r="AO14" s="2">
        <f>CHOOSE(Inputs!$B$12,'S1_D1_Factory'!N11,'S1_D2_Factory'!N11,'S1_D3_Factory'!N11)</f>
        <v/>
      </c>
      <c r="AP14" s="2">
        <f>SUM(H14,R14,AB14,AL14)</f>
        <v/>
      </c>
      <c r="AQ14" s="2">
        <f>SUM(I14,S14,AC14,AM14)</f>
        <v/>
      </c>
      <c r="AR14" s="2">
        <f>SUM(J14,T14,AD14,AN14)</f>
        <v/>
      </c>
      <c r="AS14" s="2">
        <f>AS13+AR14</f>
        <v/>
      </c>
    </row>
    <row r="15">
      <c r="A15" s="2" t="n">
        <v>11</v>
      </c>
      <c r="B15" s="2">
        <f>CHOOSE(Inputs!$B$12,'S1_D1_Retailer'!C12,'S1_D2_Retailer'!C12,'S1_D3_Retailer'!C12)</f>
        <v/>
      </c>
      <c r="C15" s="2">
        <f>CHOOSE(Inputs!$B$12,'S1_D1_Retailer'!D12,'S1_D2_Retailer'!D12,'S1_D3_Retailer'!D12)</f>
        <v/>
      </c>
      <c r="D15" s="2">
        <f>CHOOSE(Inputs!$B$12,'S1_D1_Retailer'!H12,'S1_D2_Retailer'!H12,'S1_D3_Retailer'!H12)</f>
        <v/>
      </c>
      <c r="E15" s="2">
        <f>CHOOSE(Inputs!$B$12,'S1_D1_Retailer'!I12,'S1_D2_Retailer'!I12,'S1_D3_Retailer'!I12)</f>
        <v/>
      </c>
      <c r="F15" s="2">
        <f>CHOOSE(Inputs!$B$12,'S1_D1_Retailer'!J12,'S1_D2_Retailer'!J12,'S1_D3_Retailer'!J12)</f>
        <v/>
      </c>
      <c r="G15" s="2">
        <f>CHOOSE(Inputs!$B$12,'S1_D1_Retailer'!P12,'S1_D2_Retailer'!P12,'S1_D3_Retailer'!P12)</f>
        <v/>
      </c>
      <c r="H15" s="2">
        <f>CHOOSE(Inputs!$B$12,'S1_D1_Retailer'!K12,'S1_D2_Retailer'!K12,'S1_D3_Retailer'!K12)</f>
        <v/>
      </c>
      <c r="I15" s="2">
        <f>CHOOSE(Inputs!$B$12,'S1_D1_Retailer'!L12,'S1_D2_Retailer'!L12,'S1_D3_Retailer'!L12)</f>
        <v/>
      </c>
      <c r="J15" s="2">
        <f>CHOOSE(Inputs!$B$12,'S1_D1_Retailer'!M12,'S1_D2_Retailer'!M12,'S1_D3_Retailer'!M12)</f>
        <v/>
      </c>
      <c r="K15" s="2">
        <f>CHOOSE(Inputs!$B$12,'S1_D1_Retailer'!N12,'S1_D2_Retailer'!N12,'S1_D3_Retailer'!N12)</f>
        <v/>
      </c>
      <c r="L15" s="2">
        <f>CHOOSE(Inputs!$B$12,'S1_D1_Wholesaler'!C12,'S1_D2_Wholesaler'!C12,'S1_D3_Wholesaler'!C12)</f>
        <v/>
      </c>
      <c r="M15" s="2">
        <f>CHOOSE(Inputs!$B$12,'S1_D1_Wholesaler'!D12,'S1_D2_Wholesaler'!D12,'S1_D3_Wholesaler'!D12)</f>
        <v/>
      </c>
      <c r="N15" s="2">
        <f>CHOOSE(Inputs!$B$12,'S1_D1_Wholesaler'!H12,'S1_D2_Wholesaler'!H12,'S1_D3_Wholesaler'!H12)</f>
        <v/>
      </c>
      <c r="O15" s="2">
        <f>CHOOSE(Inputs!$B$12,'S1_D1_Wholesaler'!I12,'S1_D2_Wholesaler'!I12,'S1_D3_Wholesaler'!I12)</f>
        <v/>
      </c>
      <c r="P15" s="2">
        <f>CHOOSE(Inputs!$B$12,'S1_D1_Wholesaler'!J12,'S1_D2_Wholesaler'!J12,'S1_D3_Wholesaler'!J12)</f>
        <v/>
      </c>
      <c r="Q15" s="2">
        <f>CHOOSE(Inputs!$B$12,'S1_D1_Wholesaler'!P12,'S1_D2_Wholesaler'!P12,'S1_D3_Wholesaler'!P12)</f>
        <v/>
      </c>
      <c r="R15" s="2">
        <f>CHOOSE(Inputs!$B$12,'S1_D1_Wholesaler'!K12,'S1_D2_Wholesaler'!K12,'S1_D3_Wholesaler'!K12)</f>
        <v/>
      </c>
      <c r="S15" s="2">
        <f>CHOOSE(Inputs!$B$12,'S1_D1_Wholesaler'!L12,'S1_D2_Wholesaler'!L12,'S1_D3_Wholesaler'!L12)</f>
        <v/>
      </c>
      <c r="T15" s="2">
        <f>CHOOSE(Inputs!$B$12,'S1_D1_Wholesaler'!M12,'S1_D2_Wholesaler'!M12,'S1_D3_Wholesaler'!M12)</f>
        <v/>
      </c>
      <c r="U15" s="2">
        <f>CHOOSE(Inputs!$B$12,'S1_D1_Wholesaler'!N12,'S1_D2_Wholesaler'!N12,'S1_D3_Wholesaler'!N12)</f>
        <v/>
      </c>
      <c r="V15" s="2">
        <f>CHOOSE(Inputs!$B$12,'S1_D1_Distributor'!C12,'S1_D2_Distributor'!C12,'S1_D3_Distributor'!C12)</f>
        <v/>
      </c>
      <c r="W15" s="2">
        <f>CHOOSE(Inputs!$B$12,'S1_D1_Distributor'!D12,'S1_D2_Distributor'!D12,'S1_D3_Distributor'!D12)</f>
        <v/>
      </c>
      <c r="X15" s="2">
        <f>CHOOSE(Inputs!$B$12,'S1_D1_Distributor'!H12,'S1_D2_Distributor'!H12,'S1_D3_Distributor'!H12)</f>
        <v/>
      </c>
      <c r="Y15" s="2">
        <f>CHOOSE(Inputs!$B$12,'S1_D1_Distributor'!I12,'S1_D2_Distributor'!I12,'S1_D3_Distributor'!I12)</f>
        <v/>
      </c>
      <c r="Z15" s="2">
        <f>CHOOSE(Inputs!$B$12,'S1_D1_Distributor'!J12,'S1_D2_Distributor'!J12,'S1_D3_Distributor'!J12)</f>
        <v/>
      </c>
      <c r="AA15" s="2">
        <f>CHOOSE(Inputs!$B$12,'S1_D1_Distributor'!P12,'S1_D2_Distributor'!P12,'S1_D3_Distributor'!P12)</f>
        <v/>
      </c>
      <c r="AB15" s="2">
        <f>CHOOSE(Inputs!$B$12,'S1_D1_Distributor'!K12,'S1_D2_Distributor'!K12,'S1_D3_Distributor'!K12)</f>
        <v/>
      </c>
      <c r="AC15" s="2">
        <f>CHOOSE(Inputs!$B$12,'S1_D1_Distributor'!L12,'S1_D2_Distributor'!L12,'S1_D3_Distributor'!L12)</f>
        <v/>
      </c>
      <c r="AD15" s="2">
        <f>CHOOSE(Inputs!$B$12,'S1_D1_Distributor'!M12,'S1_D2_Distributor'!M12,'S1_D3_Distributor'!M12)</f>
        <v/>
      </c>
      <c r="AE15" s="2">
        <f>CHOOSE(Inputs!$B$12,'S1_D1_Distributor'!N12,'S1_D2_Distributor'!N12,'S1_D3_Distributor'!N12)</f>
        <v/>
      </c>
      <c r="AF15" s="2">
        <f>CHOOSE(Inputs!$B$12,'S1_D1_Factory'!C12,'S1_D2_Factory'!C12,'S1_D3_Factory'!C12)</f>
        <v/>
      </c>
      <c r="AG15" s="2">
        <f>CHOOSE(Inputs!$B$12,'S1_D1_Factory'!D12,'S1_D2_Factory'!D12,'S1_D3_Factory'!D12)</f>
        <v/>
      </c>
      <c r="AH15" s="2">
        <f>CHOOSE(Inputs!$B$12,'S1_D1_Factory'!H12,'S1_D2_Factory'!H12,'S1_D3_Factory'!H12)</f>
        <v/>
      </c>
      <c r="AI15" s="2">
        <f>CHOOSE(Inputs!$B$12,'S1_D1_Factory'!I12,'S1_D2_Factory'!I12,'S1_D3_Factory'!I12)</f>
        <v/>
      </c>
      <c r="AJ15" s="2">
        <f>CHOOSE(Inputs!$B$12,'S1_D1_Factory'!J12,'S1_D2_Factory'!J12,'S1_D3_Factory'!J12)</f>
        <v/>
      </c>
      <c r="AK15" s="2">
        <f>CHOOSE(Inputs!$B$12,'S1_D1_Factory'!P12,'S1_D2_Factory'!P12,'S1_D3_Factory'!P12)</f>
        <v/>
      </c>
      <c r="AL15" s="2">
        <f>CHOOSE(Inputs!$B$12,'S1_D1_Factory'!K12,'S1_D2_Factory'!K12,'S1_D3_Factory'!K12)</f>
        <v/>
      </c>
      <c r="AM15" s="2">
        <f>CHOOSE(Inputs!$B$12,'S1_D1_Factory'!L12,'S1_D2_Factory'!L12,'S1_D3_Factory'!L12)</f>
        <v/>
      </c>
      <c r="AN15" s="2">
        <f>CHOOSE(Inputs!$B$12,'S1_D1_Factory'!M12,'S1_D2_Factory'!M12,'S1_D3_Factory'!M12)</f>
        <v/>
      </c>
      <c r="AO15" s="2">
        <f>CHOOSE(Inputs!$B$12,'S1_D1_Factory'!N12,'S1_D2_Factory'!N12,'S1_D3_Factory'!N12)</f>
        <v/>
      </c>
      <c r="AP15" s="2">
        <f>SUM(H15,R15,AB15,AL15)</f>
        <v/>
      </c>
      <c r="AQ15" s="2">
        <f>SUM(I15,S15,AC15,AM15)</f>
        <v/>
      </c>
      <c r="AR15" s="2">
        <f>SUM(J15,T15,AD15,AN15)</f>
        <v/>
      </c>
      <c r="AS15" s="2">
        <f>AS14+AR15</f>
        <v/>
      </c>
    </row>
    <row r="16">
      <c r="A16" s="2" t="n">
        <v>12</v>
      </c>
      <c r="B16" s="2">
        <f>CHOOSE(Inputs!$B$12,'S1_D1_Retailer'!C13,'S1_D2_Retailer'!C13,'S1_D3_Retailer'!C13)</f>
        <v/>
      </c>
      <c r="C16" s="2">
        <f>CHOOSE(Inputs!$B$12,'S1_D1_Retailer'!D13,'S1_D2_Retailer'!D13,'S1_D3_Retailer'!D13)</f>
        <v/>
      </c>
      <c r="D16" s="2">
        <f>CHOOSE(Inputs!$B$12,'S1_D1_Retailer'!H13,'S1_D2_Retailer'!H13,'S1_D3_Retailer'!H13)</f>
        <v/>
      </c>
      <c r="E16" s="2">
        <f>CHOOSE(Inputs!$B$12,'S1_D1_Retailer'!I13,'S1_D2_Retailer'!I13,'S1_D3_Retailer'!I13)</f>
        <v/>
      </c>
      <c r="F16" s="2">
        <f>CHOOSE(Inputs!$B$12,'S1_D1_Retailer'!J13,'S1_D2_Retailer'!J13,'S1_D3_Retailer'!J13)</f>
        <v/>
      </c>
      <c r="G16" s="2">
        <f>CHOOSE(Inputs!$B$12,'S1_D1_Retailer'!P13,'S1_D2_Retailer'!P13,'S1_D3_Retailer'!P13)</f>
        <v/>
      </c>
      <c r="H16" s="2">
        <f>CHOOSE(Inputs!$B$12,'S1_D1_Retailer'!K13,'S1_D2_Retailer'!K13,'S1_D3_Retailer'!K13)</f>
        <v/>
      </c>
      <c r="I16" s="2">
        <f>CHOOSE(Inputs!$B$12,'S1_D1_Retailer'!L13,'S1_D2_Retailer'!L13,'S1_D3_Retailer'!L13)</f>
        <v/>
      </c>
      <c r="J16" s="2">
        <f>CHOOSE(Inputs!$B$12,'S1_D1_Retailer'!M13,'S1_D2_Retailer'!M13,'S1_D3_Retailer'!M13)</f>
        <v/>
      </c>
      <c r="K16" s="2">
        <f>CHOOSE(Inputs!$B$12,'S1_D1_Retailer'!N13,'S1_D2_Retailer'!N13,'S1_D3_Retailer'!N13)</f>
        <v/>
      </c>
      <c r="L16" s="2">
        <f>CHOOSE(Inputs!$B$12,'S1_D1_Wholesaler'!C13,'S1_D2_Wholesaler'!C13,'S1_D3_Wholesaler'!C13)</f>
        <v/>
      </c>
      <c r="M16" s="2">
        <f>CHOOSE(Inputs!$B$12,'S1_D1_Wholesaler'!D13,'S1_D2_Wholesaler'!D13,'S1_D3_Wholesaler'!D13)</f>
        <v/>
      </c>
      <c r="N16" s="2">
        <f>CHOOSE(Inputs!$B$12,'S1_D1_Wholesaler'!H13,'S1_D2_Wholesaler'!H13,'S1_D3_Wholesaler'!H13)</f>
        <v/>
      </c>
      <c r="O16" s="2">
        <f>CHOOSE(Inputs!$B$12,'S1_D1_Wholesaler'!I13,'S1_D2_Wholesaler'!I13,'S1_D3_Wholesaler'!I13)</f>
        <v/>
      </c>
      <c r="P16" s="2">
        <f>CHOOSE(Inputs!$B$12,'S1_D1_Wholesaler'!J13,'S1_D2_Wholesaler'!J13,'S1_D3_Wholesaler'!J13)</f>
        <v/>
      </c>
      <c r="Q16" s="2">
        <f>CHOOSE(Inputs!$B$12,'S1_D1_Wholesaler'!P13,'S1_D2_Wholesaler'!P13,'S1_D3_Wholesaler'!P13)</f>
        <v/>
      </c>
      <c r="R16" s="2">
        <f>CHOOSE(Inputs!$B$12,'S1_D1_Wholesaler'!K13,'S1_D2_Wholesaler'!K13,'S1_D3_Wholesaler'!K13)</f>
        <v/>
      </c>
      <c r="S16" s="2">
        <f>CHOOSE(Inputs!$B$12,'S1_D1_Wholesaler'!L13,'S1_D2_Wholesaler'!L13,'S1_D3_Wholesaler'!L13)</f>
        <v/>
      </c>
      <c r="T16" s="2">
        <f>CHOOSE(Inputs!$B$12,'S1_D1_Wholesaler'!M13,'S1_D2_Wholesaler'!M13,'S1_D3_Wholesaler'!M13)</f>
        <v/>
      </c>
      <c r="U16" s="2">
        <f>CHOOSE(Inputs!$B$12,'S1_D1_Wholesaler'!N13,'S1_D2_Wholesaler'!N13,'S1_D3_Wholesaler'!N13)</f>
        <v/>
      </c>
      <c r="V16" s="2">
        <f>CHOOSE(Inputs!$B$12,'S1_D1_Distributor'!C13,'S1_D2_Distributor'!C13,'S1_D3_Distributor'!C13)</f>
        <v/>
      </c>
      <c r="W16" s="2">
        <f>CHOOSE(Inputs!$B$12,'S1_D1_Distributor'!D13,'S1_D2_Distributor'!D13,'S1_D3_Distributor'!D13)</f>
        <v/>
      </c>
      <c r="X16" s="2">
        <f>CHOOSE(Inputs!$B$12,'S1_D1_Distributor'!H13,'S1_D2_Distributor'!H13,'S1_D3_Distributor'!H13)</f>
        <v/>
      </c>
      <c r="Y16" s="2">
        <f>CHOOSE(Inputs!$B$12,'S1_D1_Distributor'!I13,'S1_D2_Distributor'!I13,'S1_D3_Distributor'!I13)</f>
        <v/>
      </c>
      <c r="Z16" s="2">
        <f>CHOOSE(Inputs!$B$12,'S1_D1_Distributor'!J13,'S1_D2_Distributor'!J13,'S1_D3_Distributor'!J13)</f>
        <v/>
      </c>
      <c r="AA16" s="2">
        <f>CHOOSE(Inputs!$B$12,'S1_D1_Distributor'!P13,'S1_D2_Distributor'!P13,'S1_D3_Distributor'!P13)</f>
        <v/>
      </c>
      <c r="AB16" s="2">
        <f>CHOOSE(Inputs!$B$12,'S1_D1_Distributor'!K13,'S1_D2_Distributor'!K13,'S1_D3_Distributor'!K13)</f>
        <v/>
      </c>
      <c r="AC16" s="2">
        <f>CHOOSE(Inputs!$B$12,'S1_D1_Distributor'!L13,'S1_D2_Distributor'!L13,'S1_D3_Distributor'!L13)</f>
        <v/>
      </c>
      <c r="AD16" s="2">
        <f>CHOOSE(Inputs!$B$12,'S1_D1_Distributor'!M13,'S1_D2_Distributor'!M13,'S1_D3_Distributor'!M13)</f>
        <v/>
      </c>
      <c r="AE16" s="2">
        <f>CHOOSE(Inputs!$B$12,'S1_D1_Distributor'!N13,'S1_D2_Distributor'!N13,'S1_D3_Distributor'!N13)</f>
        <v/>
      </c>
      <c r="AF16" s="2">
        <f>CHOOSE(Inputs!$B$12,'S1_D1_Factory'!C13,'S1_D2_Factory'!C13,'S1_D3_Factory'!C13)</f>
        <v/>
      </c>
      <c r="AG16" s="2">
        <f>CHOOSE(Inputs!$B$12,'S1_D1_Factory'!D13,'S1_D2_Factory'!D13,'S1_D3_Factory'!D13)</f>
        <v/>
      </c>
      <c r="AH16" s="2">
        <f>CHOOSE(Inputs!$B$12,'S1_D1_Factory'!H13,'S1_D2_Factory'!H13,'S1_D3_Factory'!H13)</f>
        <v/>
      </c>
      <c r="AI16" s="2">
        <f>CHOOSE(Inputs!$B$12,'S1_D1_Factory'!I13,'S1_D2_Factory'!I13,'S1_D3_Factory'!I13)</f>
        <v/>
      </c>
      <c r="AJ16" s="2">
        <f>CHOOSE(Inputs!$B$12,'S1_D1_Factory'!J13,'S1_D2_Factory'!J13,'S1_D3_Factory'!J13)</f>
        <v/>
      </c>
      <c r="AK16" s="2">
        <f>CHOOSE(Inputs!$B$12,'S1_D1_Factory'!P13,'S1_D2_Factory'!P13,'S1_D3_Factory'!P13)</f>
        <v/>
      </c>
      <c r="AL16" s="2">
        <f>CHOOSE(Inputs!$B$12,'S1_D1_Factory'!K13,'S1_D2_Factory'!K13,'S1_D3_Factory'!K13)</f>
        <v/>
      </c>
      <c r="AM16" s="2">
        <f>CHOOSE(Inputs!$B$12,'S1_D1_Factory'!L13,'S1_D2_Factory'!L13,'S1_D3_Factory'!L13)</f>
        <v/>
      </c>
      <c r="AN16" s="2">
        <f>CHOOSE(Inputs!$B$12,'S1_D1_Factory'!M13,'S1_D2_Factory'!M13,'S1_D3_Factory'!M13)</f>
        <v/>
      </c>
      <c r="AO16" s="2">
        <f>CHOOSE(Inputs!$B$12,'S1_D1_Factory'!N13,'S1_D2_Factory'!N13,'S1_D3_Factory'!N13)</f>
        <v/>
      </c>
      <c r="AP16" s="2">
        <f>SUM(H16,R16,AB16,AL16)</f>
        <v/>
      </c>
      <c r="AQ16" s="2">
        <f>SUM(I16,S16,AC16,AM16)</f>
        <v/>
      </c>
      <c r="AR16" s="2">
        <f>SUM(J16,T16,AD16,AN16)</f>
        <v/>
      </c>
      <c r="AS16" s="2">
        <f>AS15+AR16</f>
        <v/>
      </c>
    </row>
    <row r="17">
      <c r="A17" s="2" t="n">
        <v>13</v>
      </c>
      <c r="B17" s="2">
        <f>CHOOSE(Inputs!$B$12,'S1_D1_Retailer'!C14,'S1_D2_Retailer'!C14,'S1_D3_Retailer'!C14)</f>
        <v/>
      </c>
      <c r="C17" s="2">
        <f>CHOOSE(Inputs!$B$12,'S1_D1_Retailer'!D14,'S1_D2_Retailer'!D14,'S1_D3_Retailer'!D14)</f>
        <v/>
      </c>
      <c r="D17" s="2">
        <f>CHOOSE(Inputs!$B$12,'S1_D1_Retailer'!H14,'S1_D2_Retailer'!H14,'S1_D3_Retailer'!H14)</f>
        <v/>
      </c>
      <c r="E17" s="2">
        <f>CHOOSE(Inputs!$B$12,'S1_D1_Retailer'!I14,'S1_D2_Retailer'!I14,'S1_D3_Retailer'!I14)</f>
        <v/>
      </c>
      <c r="F17" s="2">
        <f>CHOOSE(Inputs!$B$12,'S1_D1_Retailer'!J14,'S1_D2_Retailer'!J14,'S1_D3_Retailer'!J14)</f>
        <v/>
      </c>
      <c r="G17" s="2">
        <f>CHOOSE(Inputs!$B$12,'S1_D1_Retailer'!P14,'S1_D2_Retailer'!P14,'S1_D3_Retailer'!P14)</f>
        <v/>
      </c>
      <c r="H17" s="2">
        <f>CHOOSE(Inputs!$B$12,'S1_D1_Retailer'!K14,'S1_D2_Retailer'!K14,'S1_D3_Retailer'!K14)</f>
        <v/>
      </c>
      <c r="I17" s="2">
        <f>CHOOSE(Inputs!$B$12,'S1_D1_Retailer'!L14,'S1_D2_Retailer'!L14,'S1_D3_Retailer'!L14)</f>
        <v/>
      </c>
      <c r="J17" s="2">
        <f>CHOOSE(Inputs!$B$12,'S1_D1_Retailer'!M14,'S1_D2_Retailer'!M14,'S1_D3_Retailer'!M14)</f>
        <v/>
      </c>
      <c r="K17" s="2">
        <f>CHOOSE(Inputs!$B$12,'S1_D1_Retailer'!N14,'S1_D2_Retailer'!N14,'S1_D3_Retailer'!N14)</f>
        <v/>
      </c>
      <c r="L17" s="2">
        <f>CHOOSE(Inputs!$B$12,'S1_D1_Wholesaler'!C14,'S1_D2_Wholesaler'!C14,'S1_D3_Wholesaler'!C14)</f>
        <v/>
      </c>
      <c r="M17" s="2">
        <f>CHOOSE(Inputs!$B$12,'S1_D1_Wholesaler'!D14,'S1_D2_Wholesaler'!D14,'S1_D3_Wholesaler'!D14)</f>
        <v/>
      </c>
      <c r="N17" s="2">
        <f>CHOOSE(Inputs!$B$12,'S1_D1_Wholesaler'!H14,'S1_D2_Wholesaler'!H14,'S1_D3_Wholesaler'!H14)</f>
        <v/>
      </c>
      <c r="O17" s="2">
        <f>CHOOSE(Inputs!$B$12,'S1_D1_Wholesaler'!I14,'S1_D2_Wholesaler'!I14,'S1_D3_Wholesaler'!I14)</f>
        <v/>
      </c>
      <c r="P17" s="2">
        <f>CHOOSE(Inputs!$B$12,'S1_D1_Wholesaler'!J14,'S1_D2_Wholesaler'!J14,'S1_D3_Wholesaler'!J14)</f>
        <v/>
      </c>
      <c r="Q17" s="2">
        <f>CHOOSE(Inputs!$B$12,'S1_D1_Wholesaler'!P14,'S1_D2_Wholesaler'!P14,'S1_D3_Wholesaler'!P14)</f>
        <v/>
      </c>
      <c r="R17" s="2">
        <f>CHOOSE(Inputs!$B$12,'S1_D1_Wholesaler'!K14,'S1_D2_Wholesaler'!K14,'S1_D3_Wholesaler'!K14)</f>
        <v/>
      </c>
      <c r="S17" s="2">
        <f>CHOOSE(Inputs!$B$12,'S1_D1_Wholesaler'!L14,'S1_D2_Wholesaler'!L14,'S1_D3_Wholesaler'!L14)</f>
        <v/>
      </c>
      <c r="T17" s="2">
        <f>CHOOSE(Inputs!$B$12,'S1_D1_Wholesaler'!M14,'S1_D2_Wholesaler'!M14,'S1_D3_Wholesaler'!M14)</f>
        <v/>
      </c>
      <c r="U17" s="2">
        <f>CHOOSE(Inputs!$B$12,'S1_D1_Wholesaler'!N14,'S1_D2_Wholesaler'!N14,'S1_D3_Wholesaler'!N14)</f>
        <v/>
      </c>
      <c r="V17" s="2">
        <f>CHOOSE(Inputs!$B$12,'S1_D1_Distributor'!C14,'S1_D2_Distributor'!C14,'S1_D3_Distributor'!C14)</f>
        <v/>
      </c>
      <c r="W17" s="2">
        <f>CHOOSE(Inputs!$B$12,'S1_D1_Distributor'!D14,'S1_D2_Distributor'!D14,'S1_D3_Distributor'!D14)</f>
        <v/>
      </c>
      <c r="X17" s="2">
        <f>CHOOSE(Inputs!$B$12,'S1_D1_Distributor'!H14,'S1_D2_Distributor'!H14,'S1_D3_Distributor'!H14)</f>
        <v/>
      </c>
      <c r="Y17" s="2">
        <f>CHOOSE(Inputs!$B$12,'S1_D1_Distributor'!I14,'S1_D2_Distributor'!I14,'S1_D3_Distributor'!I14)</f>
        <v/>
      </c>
      <c r="Z17" s="2">
        <f>CHOOSE(Inputs!$B$12,'S1_D1_Distributor'!J14,'S1_D2_Distributor'!J14,'S1_D3_Distributor'!J14)</f>
        <v/>
      </c>
      <c r="AA17" s="2">
        <f>CHOOSE(Inputs!$B$12,'S1_D1_Distributor'!P14,'S1_D2_Distributor'!P14,'S1_D3_Distributor'!P14)</f>
        <v/>
      </c>
      <c r="AB17" s="2">
        <f>CHOOSE(Inputs!$B$12,'S1_D1_Distributor'!K14,'S1_D2_Distributor'!K14,'S1_D3_Distributor'!K14)</f>
        <v/>
      </c>
      <c r="AC17" s="2">
        <f>CHOOSE(Inputs!$B$12,'S1_D1_Distributor'!L14,'S1_D2_Distributor'!L14,'S1_D3_Distributor'!L14)</f>
        <v/>
      </c>
      <c r="AD17" s="2">
        <f>CHOOSE(Inputs!$B$12,'S1_D1_Distributor'!M14,'S1_D2_Distributor'!M14,'S1_D3_Distributor'!M14)</f>
        <v/>
      </c>
      <c r="AE17" s="2">
        <f>CHOOSE(Inputs!$B$12,'S1_D1_Distributor'!N14,'S1_D2_Distributor'!N14,'S1_D3_Distributor'!N14)</f>
        <v/>
      </c>
      <c r="AF17" s="2">
        <f>CHOOSE(Inputs!$B$12,'S1_D1_Factory'!C14,'S1_D2_Factory'!C14,'S1_D3_Factory'!C14)</f>
        <v/>
      </c>
      <c r="AG17" s="2">
        <f>CHOOSE(Inputs!$B$12,'S1_D1_Factory'!D14,'S1_D2_Factory'!D14,'S1_D3_Factory'!D14)</f>
        <v/>
      </c>
      <c r="AH17" s="2">
        <f>CHOOSE(Inputs!$B$12,'S1_D1_Factory'!H14,'S1_D2_Factory'!H14,'S1_D3_Factory'!H14)</f>
        <v/>
      </c>
      <c r="AI17" s="2">
        <f>CHOOSE(Inputs!$B$12,'S1_D1_Factory'!I14,'S1_D2_Factory'!I14,'S1_D3_Factory'!I14)</f>
        <v/>
      </c>
      <c r="AJ17" s="2">
        <f>CHOOSE(Inputs!$B$12,'S1_D1_Factory'!J14,'S1_D2_Factory'!J14,'S1_D3_Factory'!J14)</f>
        <v/>
      </c>
      <c r="AK17" s="2">
        <f>CHOOSE(Inputs!$B$12,'S1_D1_Factory'!P14,'S1_D2_Factory'!P14,'S1_D3_Factory'!P14)</f>
        <v/>
      </c>
      <c r="AL17" s="2">
        <f>CHOOSE(Inputs!$B$12,'S1_D1_Factory'!K14,'S1_D2_Factory'!K14,'S1_D3_Factory'!K14)</f>
        <v/>
      </c>
      <c r="AM17" s="2">
        <f>CHOOSE(Inputs!$B$12,'S1_D1_Factory'!L14,'S1_D2_Factory'!L14,'S1_D3_Factory'!L14)</f>
        <v/>
      </c>
      <c r="AN17" s="2">
        <f>CHOOSE(Inputs!$B$12,'S1_D1_Factory'!M14,'S1_D2_Factory'!M14,'S1_D3_Factory'!M14)</f>
        <v/>
      </c>
      <c r="AO17" s="2">
        <f>CHOOSE(Inputs!$B$12,'S1_D1_Factory'!N14,'S1_D2_Factory'!N14,'S1_D3_Factory'!N14)</f>
        <v/>
      </c>
      <c r="AP17" s="2">
        <f>SUM(H17,R17,AB17,AL17)</f>
        <v/>
      </c>
      <c r="AQ17" s="2">
        <f>SUM(I17,S17,AC17,AM17)</f>
        <v/>
      </c>
      <c r="AR17" s="2">
        <f>SUM(J17,T17,AD17,AN17)</f>
        <v/>
      </c>
      <c r="AS17" s="2">
        <f>AS16+AR17</f>
        <v/>
      </c>
    </row>
    <row r="18">
      <c r="A18" s="2" t="n">
        <v>14</v>
      </c>
      <c r="B18" s="2">
        <f>CHOOSE(Inputs!$B$12,'S1_D1_Retailer'!C15,'S1_D2_Retailer'!C15,'S1_D3_Retailer'!C15)</f>
        <v/>
      </c>
      <c r="C18" s="2">
        <f>CHOOSE(Inputs!$B$12,'S1_D1_Retailer'!D15,'S1_D2_Retailer'!D15,'S1_D3_Retailer'!D15)</f>
        <v/>
      </c>
      <c r="D18" s="2">
        <f>CHOOSE(Inputs!$B$12,'S1_D1_Retailer'!H15,'S1_D2_Retailer'!H15,'S1_D3_Retailer'!H15)</f>
        <v/>
      </c>
      <c r="E18" s="2">
        <f>CHOOSE(Inputs!$B$12,'S1_D1_Retailer'!I15,'S1_D2_Retailer'!I15,'S1_D3_Retailer'!I15)</f>
        <v/>
      </c>
      <c r="F18" s="2">
        <f>CHOOSE(Inputs!$B$12,'S1_D1_Retailer'!J15,'S1_D2_Retailer'!J15,'S1_D3_Retailer'!J15)</f>
        <v/>
      </c>
      <c r="G18" s="2">
        <f>CHOOSE(Inputs!$B$12,'S1_D1_Retailer'!P15,'S1_D2_Retailer'!P15,'S1_D3_Retailer'!P15)</f>
        <v/>
      </c>
      <c r="H18" s="2">
        <f>CHOOSE(Inputs!$B$12,'S1_D1_Retailer'!K15,'S1_D2_Retailer'!K15,'S1_D3_Retailer'!K15)</f>
        <v/>
      </c>
      <c r="I18" s="2">
        <f>CHOOSE(Inputs!$B$12,'S1_D1_Retailer'!L15,'S1_D2_Retailer'!L15,'S1_D3_Retailer'!L15)</f>
        <v/>
      </c>
      <c r="J18" s="2">
        <f>CHOOSE(Inputs!$B$12,'S1_D1_Retailer'!M15,'S1_D2_Retailer'!M15,'S1_D3_Retailer'!M15)</f>
        <v/>
      </c>
      <c r="K18" s="2">
        <f>CHOOSE(Inputs!$B$12,'S1_D1_Retailer'!N15,'S1_D2_Retailer'!N15,'S1_D3_Retailer'!N15)</f>
        <v/>
      </c>
      <c r="L18" s="2">
        <f>CHOOSE(Inputs!$B$12,'S1_D1_Wholesaler'!C15,'S1_D2_Wholesaler'!C15,'S1_D3_Wholesaler'!C15)</f>
        <v/>
      </c>
      <c r="M18" s="2">
        <f>CHOOSE(Inputs!$B$12,'S1_D1_Wholesaler'!D15,'S1_D2_Wholesaler'!D15,'S1_D3_Wholesaler'!D15)</f>
        <v/>
      </c>
      <c r="N18" s="2">
        <f>CHOOSE(Inputs!$B$12,'S1_D1_Wholesaler'!H15,'S1_D2_Wholesaler'!H15,'S1_D3_Wholesaler'!H15)</f>
        <v/>
      </c>
      <c r="O18" s="2">
        <f>CHOOSE(Inputs!$B$12,'S1_D1_Wholesaler'!I15,'S1_D2_Wholesaler'!I15,'S1_D3_Wholesaler'!I15)</f>
        <v/>
      </c>
      <c r="P18" s="2">
        <f>CHOOSE(Inputs!$B$12,'S1_D1_Wholesaler'!J15,'S1_D2_Wholesaler'!J15,'S1_D3_Wholesaler'!J15)</f>
        <v/>
      </c>
      <c r="Q18" s="2">
        <f>CHOOSE(Inputs!$B$12,'S1_D1_Wholesaler'!P15,'S1_D2_Wholesaler'!P15,'S1_D3_Wholesaler'!P15)</f>
        <v/>
      </c>
      <c r="R18" s="2">
        <f>CHOOSE(Inputs!$B$12,'S1_D1_Wholesaler'!K15,'S1_D2_Wholesaler'!K15,'S1_D3_Wholesaler'!K15)</f>
        <v/>
      </c>
      <c r="S18" s="2">
        <f>CHOOSE(Inputs!$B$12,'S1_D1_Wholesaler'!L15,'S1_D2_Wholesaler'!L15,'S1_D3_Wholesaler'!L15)</f>
        <v/>
      </c>
      <c r="T18" s="2">
        <f>CHOOSE(Inputs!$B$12,'S1_D1_Wholesaler'!M15,'S1_D2_Wholesaler'!M15,'S1_D3_Wholesaler'!M15)</f>
        <v/>
      </c>
      <c r="U18" s="2">
        <f>CHOOSE(Inputs!$B$12,'S1_D1_Wholesaler'!N15,'S1_D2_Wholesaler'!N15,'S1_D3_Wholesaler'!N15)</f>
        <v/>
      </c>
      <c r="V18" s="2">
        <f>CHOOSE(Inputs!$B$12,'S1_D1_Distributor'!C15,'S1_D2_Distributor'!C15,'S1_D3_Distributor'!C15)</f>
        <v/>
      </c>
      <c r="W18" s="2">
        <f>CHOOSE(Inputs!$B$12,'S1_D1_Distributor'!D15,'S1_D2_Distributor'!D15,'S1_D3_Distributor'!D15)</f>
        <v/>
      </c>
      <c r="X18" s="2">
        <f>CHOOSE(Inputs!$B$12,'S1_D1_Distributor'!H15,'S1_D2_Distributor'!H15,'S1_D3_Distributor'!H15)</f>
        <v/>
      </c>
      <c r="Y18" s="2">
        <f>CHOOSE(Inputs!$B$12,'S1_D1_Distributor'!I15,'S1_D2_Distributor'!I15,'S1_D3_Distributor'!I15)</f>
        <v/>
      </c>
      <c r="Z18" s="2">
        <f>CHOOSE(Inputs!$B$12,'S1_D1_Distributor'!J15,'S1_D2_Distributor'!J15,'S1_D3_Distributor'!J15)</f>
        <v/>
      </c>
      <c r="AA18" s="2">
        <f>CHOOSE(Inputs!$B$12,'S1_D1_Distributor'!P15,'S1_D2_Distributor'!P15,'S1_D3_Distributor'!P15)</f>
        <v/>
      </c>
      <c r="AB18" s="2">
        <f>CHOOSE(Inputs!$B$12,'S1_D1_Distributor'!K15,'S1_D2_Distributor'!K15,'S1_D3_Distributor'!K15)</f>
        <v/>
      </c>
      <c r="AC18" s="2">
        <f>CHOOSE(Inputs!$B$12,'S1_D1_Distributor'!L15,'S1_D2_Distributor'!L15,'S1_D3_Distributor'!L15)</f>
        <v/>
      </c>
      <c r="AD18" s="2">
        <f>CHOOSE(Inputs!$B$12,'S1_D1_Distributor'!M15,'S1_D2_Distributor'!M15,'S1_D3_Distributor'!M15)</f>
        <v/>
      </c>
      <c r="AE18" s="2">
        <f>CHOOSE(Inputs!$B$12,'S1_D1_Distributor'!N15,'S1_D2_Distributor'!N15,'S1_D3_Distributor'!N15)</f>
        <v/>
      </c>
      <c r="AF18" s="2">
        <f>CHOOSE(Inputs!$B$12,'S1_D1_Factory'!C15,'S1_D2_Factory'!C15,'S1_D3_Factory'!C15)</f>
        <v/>
      </c>
      <c r="AG18" s="2">
        <f>CHOOSE(Inputs!$B$12,'S1_D1_Factory'!D15,'S1_D2_Factory'!D15,'S1_D3_Factory'!D15)</f>
        <v/>
      </c>
      <c r="AH18" s="2">
        <f>CHOOSE(Inputs!$B$12,'S1_D1_Factory'!H15,'S1_D2_Factory'!H15,'S1_D3_Factory'!H15)</f>
        <v/>
      </c>
      <c r="AI18" s="2">
        <f>CHOOSE(Inputs!$B$12,'S1_D1_Factory'!I15,'S1_D2_Factory'!I15,'S1_D3_Factory'!I15)</f>
        <v/>
      </c>
      <c r="AJ18" s="2">
        <f>CHOOSE(Inputs!$B$12,'S1_D1_Factory'!J15,'S1_D2_Factory'!J15,'S1_D3_Factory'!J15)</f>
        <v/>
      </c>
      <c r="AK18" s="2">
        <f>CHOOSE(Inputs!$B$12,'S1_D1_Factory'!P15,'S1_D2_Factory'!P15,'S1_D3_Factory'!P15)</f>
        <v/>
      </c>
      <c r="AL18" s="2">
        <f>CHOOSE(Inputs!$B$12,'S1_D1_Factory'!K15,'S1_D2_Factory'!K15,'S1_D3_Factory'!K15)</f>
        <v/>
      </c>
      <c r="AM18" s="2">
        <f>CHOOSE(Inputs!$B$12,'S1_D1_Factory'!L15,'S1_D2_Factory'!L15,'S1_D3_Factory'!L15)</f>
        <v/>
      </c>
      <c r="AN18" s="2">
        <f>CHOOSE(Inputs!$B$12,'S1_D1_Factory'!M15,'S1_D2_Factory'!M15,'S1_D3_Factory'!M15)</f>
        <v/>
      </c>
      <c r="AO18" s="2">
        <f>CHOOSE(Inputs!$B$12,'S1_D1_Factory'!N15,'S1_D2_Factory'!N15,'S1_D3_Factory'!N15)</f>
        <v/>
      </c>
      <c r="AP18" s="2">
        <f>SUM(H18,R18,AB18,AL18)</f>
        <v/>
      </c>
      <c r="AQ18" s="2">
        <f>SUM(I18,S18,AC18,AM18)</f>
        <v/>
      </c>
      <c r="AR18" s="2">
        <f>SUM(J18,T18,AD18,AN18)</f>
        <v/>
      </c>
      <c r="AS18" s="2">
        <f>AS17+AR18</f>
        <v/>
      </c>
    </row>
    <row r="19">
      <c r="A19" s="2" t="n">
        <v>15</v>
      </c>
      <c r="B19" s="2">
        <f>CHOOSE(Inputs!$B$12,'S1_D1_Retailer'!C16,'S1_D2_Retailer'!C16,'S1_D3_Retailer'!C16)</f>
        <v/>
      </c>
      <c r="C19" s="2">
        <f>CHOOSE(Inputs!$B$12,'S1_D1_Retailer'!D16,'S1_D2_Retailer'!D16,'S1_D3_Retailer'!D16)</f>
        <v/>
      </c>
      <c r="D19" s="2">
        <f>CHOOSE(Inputs!$B$12,'S1_D1_Retailer'!H16,'S1_D2_Retailer'!H16,'S1_D3_Retailer'!H16)</f>
        <v/>
      </c>
      <c r="E19" s="2">
        <f>CHOOSE(Inputs!$B$12,'S1_D1_Retailer'!I16,'S1_D2_Retailer'!I16,'S1_D3_Retailer'!I16)</f>
        <v/>
      </c>
      <c r="F19" s="2">
        <f>CHOOSE(Inputs!$B$12,'S1_D1_Retailer'!J16,'S1_D2_Retailer'!J16,'S1_D3_Retailer'!J16)</f>
        <v/>
      </c>
      <c r="G19" s="2">
        <f>CHOOSE(Inputs!$B$12,'S1_D1_Retailer'!P16,'S1_D2_Retailer'!P16,'S1_D3_Retailer'!P16)</f>
        <v/>
      </c>
      <c r="H19" s="2">
        <f>CHOOSE(Inputs!$B$12,'S1_D1_Retailer'!K16,'S1_D2_Retailer'!K16,'S1_D3_Retailer'!K16)</f>
        <v/>
      </c>
      <c r="I19" s="2">
        <f>CHOOSE(Inputs!$B$12,'S1_D1_Retailer'!L16,'S1_D2_Retailer'!L16,'S1_D3_Retailer'!L16)</f>
        <v/>
      </c>
      <c r="J19" s="2">
        <f>CHOOSE(Inputs!$B$12,'S1_D1_Retailer'!M16,'S1_D2_Retailer'!M16,'S1_D3_Retailer'!M16)</f>
        <v/>
      </c>
      <c r="K19" s="2">
        <f>CHOOSE(Inputs!$B$12,'S1_D1_Retailer'!N16,'S1_D2_Retailer'!N16,'S1_D3_Retailer'!N16)</f>
        <v/>
      </c>
      <c r="L19" s="2">
        <f>CHOOSE(Inputs!$B$12,'S1_D1_Wholesaler'!C16,'S1_D2_Wholesaler'!C16,'S1_D3_Wholesaler'!C16)</f>
        <v/>
      </c>
      <c r="M19" s="2">
        <f>CHOOSE(Inputs!$B$12,'S1_D1_Wholesaler'!D16,'S1_D2_Wholesaler'!D16,'S1_D3_Wholesaler'!D16)</f>
        <v/>
      </c>
      <c r="N19" s="2">
        <f>CHOOSE(Inputs!$B$12,'S1_D1_Wholesaler'!H16,'S1_D2_Wholesaler'!H16,'S1_D3_Wholesaler'!H16)</f>
        <v/>
      </c>
      <c r="O19" s="2">
        <f>CHOOSE(Inputs!$B$12,'S1_D1_Wholesaler'!I16,'S1_D2_Wholesaler'!I16,'S1_D3_Wholesaler'!I16)</f>
        <v/>
      </c>
      <c r="P19" s="2">
        <f>CHOOSE(Inputs!$B$12,'S1_D1_Wholesaler'!J16,'S1_D2_Wholesaler'!J16,'S1_D3_Wholesaler'!J16)</f>
        <v/>
      </c>
      <c r="Q19" s="2">
        <f>CHOOSE(Inputs!$B$12,'S1_D1_Wholesaler'!P16,'S1_D2_Wholesaler'!P16,'S1_D3_Wholesaler'!P16)</f>
        <v/>
      </c>
      <c r="R19" s="2">
        <f>CHOOSE(Inputs!$B$12,'S1_D1_Wholesaler'!K16,'S1_D2_Wholesaler'!K16,'S1_D3_Wholesaler'!K16)</f>
        <v/>
      </c>
      <c r="S19" s="2">
        <f>CHOOSE(Inputs!$B$12,'S1_D1_Wholesaler'!L16,'S1_D2_Wholesaler'!L16,'S1_D3_Wholesaler'!L16)</f>
        <v/>
      </c>
      <c r="T19" s="2">
        <f>CHOOSE(Inputs!$B$12,'S1_D1_Wholesaler'!M16,'S1_D2_Wholesaler'!M16,'S1_D3_Wholesaler'!M16)</f>
        <v/>
      </c>
      <c r="U19" s="2">
        <f>CHOOSE(Inputs!$B$12,'S1_D1_Wholesaler'!N16,'S1_D2_Wholesaler'!N16,'S1_D3_Wholesaler'!N16)</f>
        <v/>
      </c>
      <c r="V19" s="2">
        <f>CHOOSE(Inputs!$B$12,'S1_D1_Distributor'!C16,'S1_D2_Distributor'!C16,'S1_D3_Distributor'!C16)</f>
        <v/>
      </c>
      <c r="W19" s="2">
        <f>CHOOSE(Inputs!$B$12,'S1_D1_Distributor'!D16,'S1_D2_Distributor'!D16,'S1_D3_Distributor'!D16)</f>
        <v/>
      </c>
      <c r="X19" s="2">
        <f>CHOOSE(Inputs!$B$12,'S1_D1_Distributor'!H16,'S1_D2_Distributor'!H16,'S1_D3_Distributor'!H16)</f>
        <v/>
      </c>
      <c r="Y19" s="2">
        <f>CHOOSE(Inputs!$B$12,'S1_D1_Distributor'!I16,'S1_D2_Distributor'!I16,'S1_D3_Distributor'!I16)</f>
        <v/>
      </c>
      <c r="Z19" s="2">
        <f>CHOOSE(Inputs!$B$12,'S1_D1_Distributor'!J16,'S1_D2_Distributor'!J16,'S1_D3_Distributor'!J16)</f>
        <v/>
      </c>
      <c r="AA19" s="2">
        <f>CHOOSE(Inputs!$B$12,'S1_D1_Distributor'!P16,'S1_D2_Distributor'!P16,'S1_D3_Distributor'!P16)</f>
        <v/>
      </c>
      <c r="AB19" s="2">
        <f>CHOOSE(Inputs!$B$12,'S1_D1_Distributor'!K16,'S1_D2_Distributor'!K16,'S1_D3_Distributor'!K16)</f>
        <v/>
      </c>
      <c r="AC19" s="2">
        <f>CHOOSE(Inputs!$B$12,'S1_D1_Distributor'!L16,'S1_D2_Distributor'!L16,'S1_D3_Distributor'!L16)</f>
        <v/>
      </c>
      <c r="AD19" s="2">
        <f>CHOOSE(Inputs!$B$12,'S1_D1_Distributor'!M16,'S1_D2_Distributor'!M16,'S1_D3_Distributor'!M16)</f>
        <v/>
      </c>
      <c r="AE19" s="2">
        <f>CHOOSE(Inputs!$B$12,'S1_D1_Distributor'!N16,'S1_D2_Distributor'!N16,'S1_D3_Distributor'!N16)</f>
        <v/>
      </c>
      <c r="AF19" s="2">
        <f>CHOOSE(Inputs!$B$12,'S1_D1_Factory'!C16,'S1_D2_Factory'!C16,'S1_D3_Factory'!C16)</f>
        <v/>
      </c>
      <c r="AG19" s="2">
        <f>CHOOSE(Inputs!$B$12,'S1_D1_Factory'!D16,'S1_D2_Factory'!D16,'S1_D3_Factory'!D16)</f>
        <v/>
      </c>
      <c r="AH19" s="2">
        <f>CHOOSE(Inputs!$B$12,'S1_D1_Factory'!H16,'S1_D2_Factory'!H16,'S1_D3_Factory'!H16)</f>
        <v/>
      </c>
      <c r="AI19" s="2">
        <f>CHOOSE(Inputs!$B$12,'S1_D1_Factory'!I16,'S1_D2_Factory'!I16,'S1_D3_Factory'!I16)</f>
        <v/>
      </c>
      <c r="AJ19" s="2">
        <f>CHOOSE(Inputs!$B$12,'S1_D1_Factory'!J16,'S1_D2_Factory'!J16,'S1_D3_Factory'!J16)</f>
        <v/>
      </c>
      <c r="AK19" s="2">
        <f>CHOOSE(Inputs!$B$12,'S1_D1_Factory'!P16,'S1_D2_Factory'!P16,'S1_D3_Factory'!P16)</f>
        <v/>
      </c>
      <c r="AL19" s="2">
        <f>CHOOSE(Inputs!$B$12,'S1_D1_Factory'!K16,'S1_D2_Factory'!K16,'S1_D3_Factory'!K16)</f>
        <v/>
      </c>
      <c r="AM19" s="2">
        <f>CHOOSE(Inputs!$B$12,'S1_D1_Factory'!L16,'S1_D2_Factory'!L16,'S1_D3_Factory'!L16)</f>
        <v/>
      </c>
      <c r="AN19" s="2">
        <f>CHOOSE(Inputs!$B$12,'S1_D1_Factory'!M16,'S1_D2_Factory'!M16,'S1_D3_Factory'!M16)</f>
        <v/>
      </c>
      <c r="AO19" s="2">
        <f>CHOOSE(Inputs!$B$12,'S1_D1_Factory'!N16,'S1_D2_Factory'!N16,'S1_D3_Factory'!N16)</f>
        <v/>
      </c>
      <c r="AP19" s="2">
        <f>SUM(H19,R19,AB19,AL19)</f>
        <v/>
      </c>
      <c r="AQ19" s="2">
        <f>SUM(I19,S19,AC19,AM19)</f>
        <v/>
      </c>
      <c r="AR19" s="2">
        <f>SUM(J19,T19,AD19,AN19)</f>
        <v/>
      </c>
      <c r="AS19" s="2">
        <f>AS18+AR19</f>
        <v/>
      </c>
    </row>
    <row r="20">
      <c r="A20" s="2" t="n">
        <v>16</v>
      </c>
      <c r="B20" s="2">
        <f>CHOOSE(Inputs!$B$12,'S1_D1_Retailer'!C17,'S1_D2_Retailer'!C17,'S1_D3_Retailer'!C17)</f>
        <v/>
      </c>
      <c r="C20" s="2">
        <f>CHOOSE(Inputs!$B$12,'S1_D1_Retailer'!D17,'S1_D2_Retailer'!D17,'S1_D3_Retailer'!D17)</f>
        <v/>
      </c>
      <c r="D20" s="2">
        <f>CHOOSE(Inputs!$B$12,'S1_D1_Retailer'!H17,'S1_D2_Retailer'!H17,'S1_D3_Retailer'!H17)</f>
        <v/>
      </c>
      <c r="E20" s="2">
        <f>CHOOSE(Inputs!$B$12,'S1_D1_Retailer'!I17,'S1_D2_Retailer'!I17,'S1_D3_Retailer'!I17)</f>
        <v/>
      </c>
      <c r="F20" s="2">
        <f>CHOOSE(Inputs!$B$12,'S1_D1_Retailer'!J17,'S1_D2_Retailer'!J17,'S1_D3_Retailer'!J17)</f>
        <v/>
      </c>
      <c r="G20" s="2">
        <f>CHOOSE(Inputs!$B$12,'S1_D1_Retailer'!P17,'S1_D2_Retailer'!P17,'S1_D3_Retailer'!P17)</f>
        <v/>
      </c>
      <c r="H20" s="2">
        <f>CHOOSE(Inputs!$B$12,'S1_D1_Retailer'!K17,'S1_D2_Retailer'!K17,'S1_D3_Retailer'!K17)</f>
        <v/>
      </c>
      <c r="I20" s="2">
        <f>CHOOSE(Inputs!$B$12,'S1_D1_Retailer'!L17,'S1_D2_Retailer'!L17,'S1_D3_Retailer'!L17)</f>
        <v/>
      </c>
      <c r="J20" s="2">
        <f>CHOOSE(Inputs!$B$12,'S1_D1_Retailer'!M17,'S1_D2_Retailer'!M17,'S1_D3_Retailer'!M17)</f>
        <v/>
      </c>
      <c r="K20" s="2">
        <f>CHOOSE(Inputs!$B$12,'S1_D1_Retailer'!N17,'S1_D2_Retailer'!N17,'S1_D3_Retailer'!N17)</f>
        <v/>
      </c>
      <c r="L20" s="2">
        <f>CHOOSE(Inputs!$B$12,'S1_D1_Wholesaler'!C17,'S1_D2_Wholesaler'!C17,'S1_D3_Wholesaler'!C17)</f>
        <v/>
      </c>
      <c r="M20" s="2">
        <f>CHOOSE(Inputs!$B$12,'S1_D1_Wholesaler'!D17,'S1_D2_Wholesaler'!D17,'S1_D3_Wholesaler'!D17)</f>
        <v/>
      </c>
      <c r="N20" s="2">
        <f>CHOOSE(Inputs!$B$12,'S1_D1_Wholesaler'!H17,'S1_D2_Wholesaler'!H17,'S1_D3_Wholesaler'!H17)</f>
        <v/>
      </c>
      <c r="O20" s="2">
        <f>CHOOSE(Inputs!$B$12,'S1_D1_Wholesaler'!I17,'S1_D2_Wholesaler'!I17,'S1_D3_Wholesaler'!I17)</f>
        <v/>
      </c>
      <c r="P20" s="2">
        <f>CHOOSE(Inputs!$B$12,'S1_D1_Wholesaler'!J17,'S1_D2_Wholesaler'!J17,'S1_D3_Wholesaler'!J17)</f>
        <v/>
      </c>
      <c r="Q20" s="2">
        <f>CHOOSE(Inputs!$B$12,'S1_D1_Wholesaler'!P17,'S1_D2_Wholesaler'!P17,'S1_D3_Wholesaler'!P17)</f>
        <v/>
      </c>
      <c r="R20" s="2">
        <f>CHOOSE(Inputs!$B$12,'S1_D1_Wholesaler'!K17,'S1_D2_Wholesaler'!K17,'S1_D3_Wholesaler'!K17)</f>
        <v/>
      </c>
      <c r="S20" s="2">
        <f>CHOOSE(Inputs!$B$12,'S1_D1_Wholesaler'!L17,'S1_D2_Wholesaler'!L17,'S1_D3_Wholesaler'!L17)</f>
        <v/>
      </c>
      <c r="T20" s="2">
        <f>CHOOSE(Inputs!$B$12,'S1_D1_Wholesaler'!M17,'S1_D2_Wholesaler'!M17,'S1_D3_Wholesaler'!M17)</f>
        <v/>
      </c>
      <c r="U20" s="2">
        <f>CHOOSE(Inputs!$B$12,'S1_D1_Wholesaler'!N17,'S1_D2_Wholesaler'!N17,'S1_D3_Wholesaler'!N17)</f>
        <v/>
      </c>
      <c r="V20" s="2">
        <f>CHOOSE(Inputs!$B$12,'S1_D1_Distributor'!C17,'S1_D2_Distributor'!C17,'S1_D3_Distributor'!C17)</f>
        <v/>
      </c>
      <c r="W20" s="2">
        <f>CHOOSE(Inputs!$B$12,'S1_D1_Distributor'!D17,'S1_D2_Distributor'!D17,'S1_D3_Distributor'!D17)</f>
        <v/>
      </c>
      <c r="X20" s="2">
        <f>CHOOSE(Inputs!$B$12,'S1_D1_Distributor'!H17,'S1_D2_Distributor'!H17,'S1_D3_Distributor'!H17)</f>
        <v/>
      </c>
      <c r="Y20" s="2">
        <f>CHOOSE(Inputs!$B$12,'S1_D1_Distributor'!I17,'S1_D2_Distributor'!I17,'S1_D3_Distributor'!I17)</f>
        <v/>
      </c>
      <c r="Z20" s="2">
        <f>CHOOSE(Inputs!$B$12,'S1_D1_Distributor'!J17,'S1_D2_Distributor'!J17,'S1_D3_Distributor'!J17)</f>
        <v/>
      </c>
      <c r="AA20" s="2">
        <f>CHOOSE(Inputs!$B$12,'S1_D1_Distributor'!P17,'S1_D2_Distributor'!P17,'S1_D3_Distributor'!P17)</f>
        <v/>
      </c>
      <c r="AB20" s="2">
        <f>CHOOSE(Inputs!$B$12,'S1_D1_Distributor'!K17,'S1_D2_Distributor'!K17,'S1_D3_Distributor'!K17)</f>
        <v/>
      </c>
      <c r="AC20" s="2">
        <f>CHOOSE(Inputs!$B$12,'S1_D1_Distributor'!L17,'S1_D2_Distributor'!L17,'S1_D3_Distributor'!L17)</f>
        <v/>
      </c>
      <c r="AD20" s="2">
        <f>CHOOSE(Inputs!$B$12,'S1_D1_Distributor'!M17,'S1_D2_Distributor'!M17,'S1_D3_Distributor'!M17)</f>
        <v/>
      </c>
      <c r="AE20" s="2">
        <f>CHOOSE(Inputs!$B$12,'S1_D1_Distributor'!N17,'S1_D2_Distributor'!N17,'S1_D3_Distributor'!N17)</f>
        <v/>
      </c>
      <c r="AF20" s="2">
        <f>CHOOSE(Inputs!$B$12,'S1_D1_Factory'!C17,'S1_D2_Factory'!C17,'S1_D3_Factory'!C17)</f>
        <v/>
      </c>
      <c r="AG20" s="2">
        <f>CHOOSE(Inputs!$B$12,'S1_D1_Factory'!D17,'S1_D2_Factory'!D17,'S1_D3_Factory'!D17)</f>
        <v/>
      </c>
      <c r="AH20" s="2">
        <f>CHOOSE(Inputs!$B$12,'S1_D1_Factory'!H17,'S1_D2_Factory'!H17,'S1_D3_Factory'!H17)</f>
        <v/>
      </c>
      <c r="AI20" s="2">
        <f>CHOOSE(Inputs!$B$12,'S1_D1_Factory'!I17,'S1_D2_Factory'!I17,'S1_D3_Factory'!I17)</f>
        <v/>
      </c>
      <c r="AJ20" s="2">
        <f>CHOOSE(Inputs!$B$12,'S1_D1_Factory'!J17,'S1_D2_Factory'!J17,'S1_D3_Factory'!J17)</f>
        <v/>
      </c>
      <c r="AK20" s="2">
        <f>CHOOSE(Inputs!$B$12,'S1_D1_Factory'!P17,'S1_D2_Factory'!P17,'S1_D3_Factory'!P17)</f>
        <v/>
      </c>
      <c r="AL20" s="2">
        <f>CHOOSE(Inputs!$B$12,'S1_D1_Factory'!K17,'S1_D2_Factory'!K17,'S1_D3_Factory'!K17)</f>
        <v/>
      </c>
      <c r="AM20" s="2">
        <f>CHOOSE(Inputs!$B$12,'S1_D1_Factory'!L17,'S1_D2_Factory'!L17,'S1_D3_Factory'!L17)</f>
        <v/>
      </c>
      <c r="AN20" s="2">
        <f>CHOOSE(Inputs!$B$12,'S1_D1_Factory'!M17,'S1_D2_Factory'!M17,'S1_D3_Factory'!M17)</f>
        <v/>
      </c>
      <c r="AO20" s="2">
        <f>CHOOSE(Inputs!$B$12,'S1_D1_Factory'!N17,'S1_D2_Factory'!N17,'S1_D3_Factory'!N17)</f>
        <v/>
      </c>
      <c r="AP20" s="2">
        <f>SUM(H20,R20,AB20,AL20)</f>
        <v/>
      </c>
      <c r="AQ20" s="2">
        <f>SUM(I20,S20,AC20,AM20)</f>
        <v/>
      </c>
      <c r="AR20" s="2">
        <f>SUM(J20,T20,AD20,AN20)</f>
        <v/>
      </c>
      <c r="AS20" s="2">
        <f>AS19+AR20</f>
        <v/>
      </c>
    </row>
    <row r="21">
      <c r="A21" s="2" t="n">
        <v>17</v>
      </c>
      <c r="B21" s="2">
        <f>CHOOSE(Inputs!$B$12,'S1_D1_Retailer'!C18,'S1_D2_Retailer'!C18,'S1_D3_Retailer'!C18)</f>
        <v/>
      </c>
      <c r="C21" s="2">
        <f>CHOOSE(Inputs!$B$12,'S1_D1_Retailer'!D18,'S1_D2_Retailer'!D18,'S1_D3_Retailer'!D18)</f>
        <v/>
      </c>
      <c r="D21" s="2">
        <f>CHOOSE(Inputs!$B$12,'S1_D1_Retailer'!H18,'S1_D2_Retailer'!H18,'S1_D3_Retailer'!H18)</f>
        <v/>
      </c>
      <c r="E21" s="2">
        <f>CHOOSE(Inputs!$B$12,'S1_D1_Retailer'!I18,'S1_D2_Retailer'!I18,'S1_D3_Retailer'!I18)</f>
        <v/>
      </c>
      <c r="F21" s="2">
        <f>CHOOSE(Inputs!$B$12,'S1_D1_Retailer'!J18,'S1_D2_Retailer'!J18,'S1_D3_Retailer'!J18)</f>
        <v/>
      </c>
      <c r="G21" s="2">
        <f>CHOOSE(Inputs!$B$12,'S1_D1_Retailer'!P18,'S1_D2_Retailer'!P18,'S1_D3_Retailer'!P18)</f>
        <v/>
      </c>
      <c r="H21" s="2">
        <f>CHOOSE(Inputs!$B$12,'S1_D1_Retailer'!K18,'S1_D2_Retailer'!K18,'S1_D3_Retailer'!K18)</f>
        <v/>
      </c>
      <c r="I21" s="2">
        <f>CHOOSE(Inputs!$B$12,'S1_D1_Retailer'!L18,'S1_D2_Retailer'!L18,'S1_D3_Retailer'!L18)</f>
        <v/>
      </c>
      <c r="J21" s="2">
        <f>CHOOSE(Inputs!$B$12,'S1_D1_Retailer'!M18,'S1_D2_Retailer'!M18,'S1_D3_Retailer'!M18)</f>
        <v/>
      </c>
      <c r="K21" s="2">
        <f>CHOOSE(Inputs!$B$12,'S1_D1_Retailer'!N18,'S1_D2_Retailer'!N18,'S1_D3_Retailer'!N18)</f>
        <v/>
      </c>
      <c r="L21" s="2">
        <f>CHOOSE(Inputs!$B$12,'S1_D1_Wholesaler'!C18,'S1_D2_Wholesaler'!C18,'S1_D3_Wholesaler'!C18)</f>
        <v/>
      </c>
      <c r="M21" s="2">
        <f>CHOOSE(Inputs!$B$12,'S1_D1_Wholesaler'!D18,'S1_D2_Wholesaler'!D18,'S1_D3_Wholesaler'!D18)</f>
        <v/>
      </c>
      <c r="N21" s="2">
        <f>CHOOSE(Inputs!$B$12,'S1_D1_Wholesaler'!H18,'S1_D2_Wholesaler'!H18,'S1_D3_Wholesaler'!H18)</f>
        <v/>
      </c>
      <c r="O21" s="2">
        <f>CHOOSE(Inputs!$B$12,'S1_D1_Wholesaler'!I18,'S1_D2_Wholesaler'!I18,'S1_D3_Wholesaler'!I18)</f>
        <v/>
      </c>
      <c r="P21" s="2">
        <f>CHOOSE(Inputs!$B$12,'S1_D1_Wholesaler'!J18,'S1_D2_Wholesaler'!J18,'S1_D3_Wholesaler'!J18)</f>
        <v/>
      </c>
      <c r="Q21" s="2">
        <f>CHOOSE(Inputs!$B$12,'S1_D1_Wholesaler'!P18,'S1_D2_Wholesaler'!P18,'S1_D3_Wholesaler'!P18)</f>
        <v/>
      </c>
      <c r="R21" s="2">
        <f>CHOOSE(Inputs!$B$12,'S1_D1_Wholesaler'!K18,'S1_D2_Wholesaler'!K18,'S1_D3_Wholesaler'!K18)</f>
        <v/>
      </c>
      <c r="S21" s="2">
        <f>CHOOSE(Inputs!$B$12,'S1_D1_Wholesaler'!L18,'S1_D2_Wholesaler'!L18,'S1_D3_Wholesaler'!L18)</f>
        <v/>
      </c>
      <c r="T21" s="2">
        <f>CHOOSE(Inputs!$B$12,'S1_D1_Wholesaler'!M18,'S1_D2_Wholesaler'!M18,'S1_D3_Wholesaler'!M18)</f>
        <v/>
      </c>
      <c r="U21" s="2">
        <f>CHOOSE(Inputs!$B$12,'S1_D1_Wholesaler'!N18,'S1_D2_Wholesaler'!N18,'S1_D3_Wholesaler'!N18)</f>
        <v/>
      </c>
      <c r="V21" s="2">
        <f>CHOOSE(Inputs!$B$12,'S1_D1_Distributor'!C18,'S1_D2_Distributor'!C18,'S1_D3_Distributor'!C18)</f>
        <v/>
      </c>
      <c r="W21" s="2">
        <f>CHOOSE(Inputs!$B$12,'S1_D1_Distributor'!D18,'S1_D2_Distributor'!D18,'S1_D3_Distributor'!D18)</f>
        <v/>
      </c>
      <c r="X21" s="2">
        <f>CHOOSE(Inputs!$B$12,'S1_D1_Distributor'!H18,'S1_D2_Distributor'!H18,'S1_D3_Distributor'!H18)</f>
        <v/>
      </c>
      <c r="Y21" s="2">
        <f>CHOOSE(Inputs!$B$12,'S1_D1_Distributor'!I18,'S1_D2_Distributor'!I18,'S1_D3_Distributor'!I18)</f>
        <v/>
      </c>
      <c r="Z21" s="2">
        <f>CHOOSE(Inputs!$B$12,'S1_D1_Distributor'!J18,'S1_D2_Distributor'!J18,'S1_D3_Distributor'!J18)</f>
        <v/>
      </c>
      <c r="AA21" s="2">
        <f>CHOOSE(Inputs!$B$12,'S1_D1_Distributor'!P18,'S1_D2_Distributor'!P18,'S1_D3_Distributor'!P18)</f>
        <v/>
      </c>
      <c r="AB21" s="2">
        <f>CHOOSE(Inputs!$B$12,'S1_D1_Distributor'!K18,'S1_D2_Distributor'!K18,'S1_D3_Distributor'!K18)</f>
        <v/>
      </c>
      <c r="AC21" s="2">
        <f>CHOOSE(Inputs!$B$12,'S1_D1_Distributor'!L18,'S1_D2_Distributor'!L18,'S1_D3_Distributor'!L18)</f>
        <v/>
      </c>
      <c r="AD21" s="2">
        <f>CHOOSE(Inputs!$B$12,'S1_D1_Distributor'!M18,'S1_D2_Distributor'!M18,'S1_D3_Distributor'!M18)</f>
        <v/>
      </c>
      <c r="AE21" s="2">
        <f>CHOOSE(Inputs!$B$12,'S1_D1_Distributor'!N18,'S1_D2_Distributor'!N18,'S1_D3_Distributor'!N18)</f>
        <v/>
      </c>
      <c r="AF21" s="2">
        <f>CHOOSE(Inputs!$B$12,'S1_D1_Factory'!C18,'S1_D2_Factory'!C18,'S1_D3_Factory'!C18)</f>
        <v/>
      </c>
      <c r="AG21" s="2">
        <f>CHOOSE(Inputs!$B$12,'S1_D1_Factory'!D18,'S1_D2_Factory'!D18,'S1_D3_Factory'!D18)</f>
        <v/>
      </c>
      <c r="AH21" s="2">
        <f>CHOOSE(Inputs!$B$12,'S1_D1_Factory'!H18,'S1_D2_Factory'!H18,'S1_D3_Factory'!H18)</f>
        <v/>
      </c>
      <c r="AI21" s="2">
        <f>CHOOSE(Inputs!$B$12,'S1_D1_Factory'!I18,'S1_D2_Factory'!I18,'S1_D3_Factory'!I18)</f>
        <v/>
      </c>
      <c r="AJ21" s="2">
        <f>CHOOSE(Inputs!$B$12,'S1_D1_Factory'!J18,'S1_D2_Factory'!J18,'S1_D3_Factory'!J18)</f>
        <v/>
      </c>
      <c r="AK21" s="2">
        <f>CHOOSE(Inputs!$B$12,'S1_D1_Factory'!P18,'S1_D2_Factory'!P18,'S1_D3_Factory'!P18)</f>
        <v/>
      </c>
      <c r="AL21" s="2">
        <f>CHOOSE(Inputs!$B$12,'S1_D1_Factory'!K18,'S1_D2_Factory'!K18,'S1_D3_Factory'!K18)</f>
        <v/>
      </c>
      <c r="AM21" s="2">
        <f>CHOOSE(Inputs!$B$12,'S1_D1_Factory'!L18,'S1_D2_Factory'!L18,'S1_D3_Factory'!L18)</f>
        <v/>
      </c>
      <c r="AN21" s="2">
        <f>CHOOSE(Inputs!$B$12,'S1_D1_Factory'!M18,'S1_D2_Factory'!M18,'S1_D3_Factory'!M18)</f>
        <v/>
      </c>
      <c r="AO21" s="2">
        <f>CHOOSE(Inputs!$B$12,'S1_D1_Factory'!N18,'S1_D2_Factory'!N18,'S1_D3_Factory'!N18)</f>
        <v/>
      </c>
      <c r="AP21" s="2">
        <f>SUM(H21,R21,AB21,AL21)</f>
        <v/>
      </c>
      <c r="AQ21" s="2">
        <f>SUM(I21,S21,AC21,AM21)</f>
        <v/>
      </c>
      <c r="AR21" s="2">
        <f>SUM(J21,T21,AD21,AN21)</f>
        <v/>
      </c>
      <c r="AS21" s="2">
        <f>AS20+AR21</f>
        <v/>
      </c>
    </row>
    <row r="22">
      <c r="A22" s="2" t="n">
        <v>18</v>
      </c>
      <c r="B22" s="2">
        <f>CHOOSE(Inputs!$B$12,'S1_D1_Retailer'!C19,'S1_D2_Retailer'!C19,'S1_D3_Retailer'!C19)</f>
        <v/>
      </c>
      <c r="C22" s="2">
        <f>CHOOSE(Inputs!$B$12,'S1_D1_Retailer'!D19,'S1_D2_Retailer'!D19,'S1_D3_Retailer'!D19)</f>
        <v/>
      </c>
      <c r="D22" s="2">
        <f>CHOOSE(Inputs!$B$12,'S1_D1_Retailer'!H19,'S1_D2_Retailer'!H19,'S1_D3_Retailer'!H19)</f>
        <v/>
      </c>
      <c r="E22" s="2">
        <f>CHOOSE(Inputs!$B$12,'S1_D1_Retailer'!I19,'S1_D2_Retailer'!I19,'S1_D3_Retailer'!I19)</f>
        <v/>
      </c>
      <c r="F22" s="2">
        <f>CHOOSE(Inputs!$B$12,'S1_D1_Retailer'!J19,'S1_D2_Retailer'!J19,'S1_D3_Retailer'!J19)</f>
        <v/>
      </c>
      <c r="G22" s="2">
        <f>CHOOSE(Inputs!$B$12,'S1_D1_Retailer'!P19,'S1_D2_Retailer'!P19,'S1_D3_Retailer'!P19)</f>
        <v/>
      </c>
      <c r="H22" s="2">
        <f>CHOOSE(Inputs!$B$12,'S1_D1_Retailer'!K19,'S1_D2_Retailer'!K19,'S1_D3_Retailer'!K19)</f>
        <v/>
      </c>
      <c r="I22" s="2">
        <f>CHOOSE(Inputs!$B$12,'S1_D1_Retailer'!L19,'S1_D2_Retailer'!L19,'S1_D3_Retailer'!L19)</f>
        <v/>
      </c>
      <c r="J22" s="2">
        <f>CHOOSE(Inputs!$B$12,'S1_D1_Retailer'!M19,'S1_D2_Retailer'!M19,'S1_D3_Retailer'!M19)</f>
        <v/>
      </c>
      <c r="K22" s="2">
        <f>CHOOSE(Inputs!$B$12,'S1_D1_Retailer'!N19,'S1_D2_Retailer'!N19,'S1_D3_Retailer'!N19)</f>
        <v/>
      </c>
      <c r="L22" s="2">
        <f>CHOOSE(Inputs!$B$12,'S1_D1_Wholesaler'!C19,'S1_D2_Wholesaler'!C19,'S1_D3_Wholesaler'!C19)</f>
        <v/>
      </c>
      <c r="M22" s="2">
        <f>CHOOSE(Inputs!$B$12,'S1_D1_Wholesaler'!D19,'S1_D2_Wholesaler'!D19,'S1_D3_Wholesaler'!D19)</f>
        <v/>
      </c>
      <c r="N22" s="2">
        <f>CHOOSE(Inputs!$B$12,'S1_D1_Wholesaler'!H19,'S1_D2_Wholesaler'!H19,'S1_D3_Wholesaler'!H19)</f>
        <v/>
      </c>
      <c r="O22" s="2">
        <f>CHOOSE(Inputs!$B$12,'S1_D1_Wholesaler'!I19,'S1_D2_Wholesaler'!I19,'S1_D3_Wholesaler'!I19)</f>
        <v/>
      </c>
      <c r="P22" s="2">
        <f>CHOOSE(Inputs!$B$12,'S1_D1_Wholesaler'!J19,'S1_D2_Wholesaler'!J19,'S1_D3_Wholesaler'!J19)</f>
        <v/>
      </c>
      <c r="Q22" s="2">
        <f>CHOOSE(Inputs!$B$12,'S1_D1_Wholesaler'!P19,'S1_D2_Wholesaler'!P19,'S1_D3_Wholesaler'!P19)</f>
        <v/>
      </c>
      <c r="R22" s="2">
        <f>CHOOSE(Inputs!$B$12,'S1_D1_Wholesaler'!K19,'S1_D2_Wholesaler'!K19,'S1_D3_Wholesaler'!K19)</f>
        <v/>
      </c>
      <c r="S22" s="2">
        <f>CHOOSE(Inputs!$B$12,'S1_D1_Wholesaler'!L19,'S1_D2_Wholesaler'!L19,'S1_D3_Wholesaler'!L19)</f>
        <v/>
      </c>
      <c r="T22" s="2">
        <f>CHOOSE(Inputs!$B$12,'S1_D1_Wholesaler'!M19,'S1_D2_Wholesaler'!M19,'S1_D3_Wholesaler'!M19)</f>
        <v/>
      </c>
      <c r="U22" s="2">
        <f>CHOOSE(Inputs!$B$12,'S1_D1_Wholesaler'!N19,'S1_D2_Wholesaler'!N19,'S1_D3_Wholesaler'!N19)</f>
        <v/>
      </c>
      <c r="V22" s="2">
        <f>CHOOSE(Inputs!$B$12,'S1_D1_Distributor'!C19,'S1_D2_Distributor'!C19,'S1_D3_Distributor'!C19)</f>
        <v/>
      </c>
      <c r="W22" s="2">
        <f>CHOOSE(Inputs!$B$12,'S1_D1_Distributor'!D19,'S1_D2_Distributor'!D19,'S1_D3_Distributor'!D19)</f>
        <v/>
      </c>
      <c r="X22" s="2">
        <f>CHOOSE(Inputs!$B$12,'S1_D1_Distributor'!H19,'S1_D2_Distributor'!H19,'S1_D3_Distributor'!H19)</f>
        <v/>
      </c>
      <c r="Y22" s="2">
        <f>CHOOSE(Inputs!$B$12,'S1_D1_Distributor'!I19,'S1_D2_Distributor'!I19,'S1_D3_Distributor'!I19)</f>
        <v/>
      </c>
      <c r="Z22" s="2">
        <f>CHOOSE(Inputs!$B$12,'S1_D1_Distributor'!J19,'S1_D2_Distributor'!J19,'S1_D3_Distributor'!J19)</f>
        <v/>
      </c>
      <c r="AA22" s="2">
        <f>CHOOSE(Inputs!$B$12,'S1_D1_Distributor'!P19,'S1_D2_Distributor'!P19,'S1_D3_Distributor'!P19)</f>
        <v/>
      </c>
      <c r="AB22" s="2">
        <f>CHOOSE(Inputs!$B$12,'S1_D1_Distributor'!K19,'S1_D2_Distributor'!K19,'S1_D3_Distributor'!K19)</f>
        <v/>
      </c>
      <c r="AC22" s="2">
        <f>CHOOSE(Inputs!$B$12,'S1_D1_Distributor'!L19,'S1_D2_Distributor'!L19,'S1_D3_Distributor'!L19)</f>
        <v/>
      </c>
      <c r="AD22" s="2">
        <f>CHOOSE(Inputs!$B$12,'S1_D1_Distributor'!M19,'S1_D2_Distributor'!M19,'S1_D3_Distributor'!M19)</f>
        <v/>
      </c>
      <c r="AE22" s="2">
        <f>CHOOSE(Inputs!$B$12,'S1_D1_Distributor'!N19,'S1_D2_Distributor'!N19,'S1_D3_Distributor'!N19)</f>
        <v/>
      </c>
      <c r="AF22" s="2">
        <f>CHOOSE(Inputs!$B$12,'S1_D1_Factory'!C19,'S1_D2_Factory'!C19,'S1_D3_Factory'!C19)</f>
        <v/>
      </c>
      <c r="AG22" s="2">
        <f>CHOOSE(Inputs!$B$12,'S1_D1_Factory'!D19,'S1_D2_Factory'!D19,'S1_D3_Factory'!D19)</f>
        <v/>
      </c>
      <c r="AH22" s="2">
        <f>CHOOSE(Inputs!$B$12,'S1_D1_Factory'!H19,'S1_D2_Factory'!H19,'S1_D3_Factory'!H19)</f>
        <v/>
      </c>
      <c r="AI22" s="2">
        <f>CHOOSE(Inputs!$B$12,'S1_D1_Factory'!I19,'S1_D2_Factory'!I19,'S1_D3_Factory'!I19)</f>
        <v/>
      </c>
      <c r="AJ22" s="2">
        <f>CHOOSE(Inputs!$B$12,'S1_D1_Factory'!J19,'S1_D2_Factory'!J19,'S1_D3_Factory'!J19)</f>
        <v/>
      </c>
      <c r="AK22" s="2">
        <f>CHOOSE(Inputs!$B$12,'S1_D1_Factory'!P19,'S1_D2_Factory'!P19,'S1_D3_Factory'!P19)</f>
        <v/>
      </c>
      <c r="AL22" s="2">
        <f>CHOOSE(Inputs!$B$12,'S1_D1_Factory'!K19,'S1_D2_Factory'!K19,'S1_D3_Factory'!K19)</f>
        <v/>
      </c>
      <c r="AM22" s="2">
        <f>CHOOSE(Inputs!$B$12,'S1_D1_Factory'!L19,'S1_D2_Factory'!L19,'S1_D3_Factory'!L19)</f>
        <v/>
      </c>
      <c r="AN22" s="2">
        <f>CHOOSE(Inputs!$B$12,'S1_D1_Factory'!M19,'S1_D2_Factory'!M19,'S1_D3_Factory'!M19)</f>
        <v/>
      </c>
      <c r="AO22" s="2">
        <f>CHOOSE(Inputs!$B$12,'S1_D1_Factory'!N19,'S1_D2_Factory'!N19,'S1_D3_Factory'!N19)</f>
        <v/>
      </c>
      <c r="AP22" s="2">
        <f>SUM(H22,R22,AB22,AL22)</f>
        <v/>
      </c>
      <c r="AQ22" s="2">
        <f>SUM(I22,S22,AC22,AM22)</f>
        <v/>
      </c>
      <c r="AR22" s="2">
        <f>SUM(J22,T22,AD22,AN22)</f>
        <v/>
      </c>
      <c r="AS22" s="2">
        <f>AS21+AR22</f>
        <v/>
      </c>
    </row>
    <row r="23">
      <c r="A23" s="2" t="n">
        <v>19</v>
      </c>
      <c r="B23" s="2">
        <f>CHOOSE(Inputs!$B$12,'S1_D1_Retailer'!C20,'S1_D2_Retailer'!C20,'S1_D3_Retailer'!C20)</f>
        <v/>
      </c>
      <c r="C23" s="2">
        <f>CHOOSE(Inputs!$B$12,'S1_D1_Retailer'!D20,'S1_D2_Retailer'!D20,'S1_D3_Retailer'!D20)</f>
        <v/>
      </c>
      <c r="D23" s="2">
        <f>CHOOSE(Inputs!$B$12,'S1_D1_Retailer'!H20,'S1_D2_Retailer'!H20,'S1_D3_Retailer'!H20)</f>
        <v/>
      </c>
      <c r="E23" s="2">
        <f>CHOOSE(Inputs!$B$12,'S1_D1_Retailer'!I20,'S1_D2_Retailer'!I20,'S1_D3_Retailer'!I20)</f>
        <v/>
      </c>
      <c r="F23" s="2">
        <f>CHOOSE(Inputs!$B$12,'S1_D1_Retailer'!J20,'S1_D2_Retailer'!J20,'S1_D3_Retailer'!J20)</f>
        <v/>
      </c>
      <c r="G23" s="2">
        <f>CHOOSE(Inputs!$B$12,'S1_D1_Retailer'!P20,'S1_D2_Retailer'!P20,'S1_D3_Retailer'!P20)</f>
        <v/>
      </c>
      <c r="H23" s="2">
        <f>CHOOSE(Inputs!$B$12,'S1_D1_Retailer'!K20,'S1_D2_Retailer'!K20,'S1_D3_Retailer'!K20)</f>
        <v/>
      </c>
      <c r="I23" s="2">
        <f>CHOOSE(Inputs!$B$12,'S1_D1_Retailer'!L20,'S1_D2_Retailer'!L20,'S1_D3_Retailer'!L20)</f>
        <v/>
      </c>
      <c r="J23" s="2">
        <f>CHOOSE(Inputs!$B$12,'S1_D1_Retailer'!M20,'S1_D2_Retailer'!M20,'S1_D3_Retailer'!M20)</f>
        <v/>
      </c>
      <c r="K23" s="2">
        <f>CHOOSE(Inputs!$B$12,'S1_D1_Retailer'!N20,'S1_D2_Retailer'!N20,'S1_D3_Retailer'!N20)</f>
        <v/>
      </c>
      <c r="L23" s="2">
        <f>CHOOSE(Inputs!$B$12,'S1_D1_Wholesaler'!C20,'S1_D2_Wholesaler'!C20,'S1_D3_Wholesaler'!C20)</f>
        <v/>
      </c>
      <c r="M23" s="2">
        <f>CHOOSE(Inputs!$B$12,'S1_D1_Wholesaler'!D20,'S1_D2_Wholesaler'!D20,'S1_D3_Wholesaler'!D20)</f>
        <v/>
      </c>
      <c r="N23" s="2">
        <f>CHOOSE(Inputs!$B$12,'S1_D1_Wholesaler'!H20,'S1_D2_Wholesaler'!H20,'S1_D3_Wholesaler'!H20)</f>
        <v/>
      </c>
      <c r="O23" s="2">
        <f>CHOOSE(Inputs!$B$12,'S1_D1_Wholesaler'!I20,'S1_D2_Wholesaler'!I20,'S1_D3_Wholesaler'!I20)</f>
        <v/>
      </c>
      <c r="P23" s="2">
        <f>CHOOSE(Inputs!$B$12,'S1_D1_Wholesaler'!J20,'S1_D2_Wholesaler'!J20,'S1_D3_Wholesaler'!J20)</f>
        <v/>
      </c>
      <c r="Q23" s="2">
        <f>CHOOSE(Inputs!$B$12,'S1_D1_Wholesaler'!P20,'S1_D2_Wholesaler'!P20,'S1_D3_Wholesaler'!P20)</f>
        <v/>
      </c>
      <c r="R23" s="2">
        <f>CHOOSE(Inputs!$B$12,'S1_D1_Wholesaler'!K20,'S1_D2_Wholesaler'!K20,'S1_D3_Wholesaler'!K20)</f>
        <v/>
      </c>
      <c r="S23" s="2">
        <f>CHOOSE(Inputs!$B$12,'S1_D1_Wholesaler'!L20,'S1_D2_Wholesaler'!L20,'S1_D3_Wholesaler'!L20)</f>
        <v/>
      </c>
      <c r="T23" s="2">
        <f>CHOOSE(Inputs!$B$12,'S1_D1_Wholesaler'!M20,'S1_D2_Wholesaler'!M20,'S1_D3_Wholesaler'!M20)</f>
        <v/>
      </c>
      <c r="U23" s="2">
        <f>CHOOSE(Inputs!$B$12,'S1_D1_Wholesaler'!N20,'S1_D2_Wholesaler'!N20,'S1_D3_Wholesaler'!N20)</f>
        <v/>
      </c>
      <c r="V23" s="2">
        <f>CHOOSE(Inputs!$B$12,'S1_D1_Distributor'!C20,'S1_D2_Distributor'!C20,'S1_D3_Distributor'!C20)</f>
        <v/>
      </c>
      <c r="W23" s="2">
        <f>CHOOSE(Inputs!$B$12,'S1_D1_Distributor'!D20,'S1_D2_Distributor'!D20,'S1_D3_Distributor'!D20)</f>
        <v/>
      </c>
      <c r="X23" s="2">
        <f>CHOOSE(Inputs!$B$12,'S1_D1_Distributor'!H20,'S1_D2_Distributor'!H20,'S1_D3_Distributor'!H20)</f>
        <v/>
      </c>
      <c r="Y23" s="2">
        <f>CHOOSE(Inputs!$B$12,'S1_D1_Distributor'!I20,'S1_D2_Distributor'!I20,'S1_D3_Distributor'!I20)</f>
        <v/>
      </c>
      <c r="Z23" s="2">
        <f>CHOOSE(Inputs!$B$12,'S1_D1_Distributor'!J20,'S1_D2_Distributor'!J20,'S1_D3_Distributor'!J20)</f>
        <v/>
      </c>
      <c r="AA23" s="2">
        <f>CHOOSE(Inputs!$B$12,'S1_D1_Distributor'!P20,'S1_D2_Distributor'!P20,'S1_D3_Distributor'!P20)</f>
        <v/>
      </c>
      <c r="AB23" s="2">
        <f>CHOOSE(Inputs!$B$12,'S1_D1_Distributor'!K20,'S1_D2_Distributor'!K20,'S1_D3_Distributor'!K20)</f>
        <v/>
      </c>
      <c r="AC23" s="2">
        <f>CHOOSE(Inputs!$B$12,'S1_D1_Distributor'!L20,'S1_D2_Distributor'!L20,'S1_D3_Distributor'!L20)</f>
        <v/>
      </c>
      <c r="AD23" s="2">
        <f>CHOOSE(Inputs!$B$12,'S1_D1_Distributor'!M20,'S1_D2_Distributor'!M20,'S1_D3_Distributor'!M20)</f>
        <v/>
      </c>
      <c r="AE23" s="2">
        <f>CHOOSE(Inputs!$B$12,'S1_D1_Distributor'!N20,'S1_D2_Distributor'!N20,'S1_D3_Distributor'!N20)</f>
        <v/>
      </c>
      <c r="AF23" s="2">
        <f>CHOOSE(Inputs!$B$12,'S1_D1_Factory'!C20,'S1_D2_Factory'!C20,'S1_D3_Factory'!C20)</f>
        <v/>
      </c>
      <c r="AG23" s="2">
        <f>CHOOSE(Inputs!$B$12,'S1_D1_Factory'!D20,'S1_D2_Factory'!D20,'S1_D3_Factory'!D20)</f>
        <v/>
      </c>
      <c r="AH23" s="2">
        <f>CHOOSE(Inputs!$B$12,'S1_D1_Factory'!H20,'S1_D2_Factory'!H20,'S1_D3_Factory'!H20)</f>
        <v/>
      </c>
      <c r="AI23" s="2">
        <f>CHOOSE(Inputs!$B$12,'S1_D1_Factory'!I20,'S1_D2_Factory'!I20,'S1_D3_Factory'!I20)</f>
        <v/>
      </c>
      <c r="AJ23" s="2">
        <f>CHOOSE(Inputs!$B$12,'S1_D1_Factory'!J20,'S1_D2_Factory'!J20,'S1_D3_Factory'!J20)</f>
        <v/>
      </c>
      <c r="AK23" s="2">
        <f>CHOOSE(Inputs!$B$12,'S1_D1_Factory'!P20,'S1_D2_Factory'!P20,'S1_D3_Factory'!P20)</f>
        <v/>
      </c>
      <c r="AL23" s="2">
        <f>CHOOSE(Inputs!$B$12,'S1_D1_Factory'!K20,'S1_D2_Factory'!K20,'S1_D3_Factory'!K20)</f>
        <v/>
      </c>
      <c r="AM23" s="2">
        <f>CHOOSE(Inputs!$B$12,'S1_D1_Factory'!L20,'S1_D2_Factory'!L20,'S1_D3_Factory'!L20)</f>
        <v/>
      </c>
      <c r="AN23" s="2">
        <f>CHOOSE(Inputs!$B$12,'S1_D1_Factory'!M20,'S1_D2_Factory'!M20,'S1_D3_Factory'!M20)</f>
        <v/>
      </c>
      <c r="AO23" s="2">
        <f>CHOOSE(Inputs!$B$12,'S1_D1_Factory'!N20,'S1_D2_Factory'!N20,'S1_D3_Factory'!N20)</f>
        <v/>
      </c>
      <c r="AP23" s="2">
        <f>SUM(H23,R23,AB23,AL23)</f>
        <v/>
      </c>
      <c r="AQ23" s="2">
        <f>SUM(I23,S23,AC23,AM23)</f>
        <v/>
      </c>
      <c r="AR23" s="2">
        <f>SUM(J23,T23,AD23,AN23)</f>
        <v/>
      </c>
      <c r="AS23" s="2">
        <f>AS22+AR23</f>
        <v/>
      </c>
    </row>
    <row r="24">
      <c r="A24" s="2" t="n">
        <v>20</v>
      </c>
      <c r="B24" s="2">
        <f>CHOOSE(Inputs!$B$12,'S1_D1_Retailer'!C21,'S1_D2_Retailer'!C21,'S1_D3_Retailer'!C21)</f>
        <v/>
      </c>
      <c r="C24" s="2">
        <f>CHOOSE(Inputs!$B$12,'S1_D1_Retailer'!D21,'S1_D2_Retailer'!D21,'S1_D3_Retailer'!D21)</f>
        <v/>
      </c>
      <c r="D24" s="2">
        <f>CHOOSE(Inputs!$B$12,'S1_D1_Retailer'!H21,'S1_D2_Retailer'!H21,'S1_D3_Retailer'!H21)</f>
        <v/>
      </c>
      <c r="E24" s="2">
        <f>CHOOSE(Inputs!$B$12,'S1_D1_Retailer'!I21,'S1_D2_Retailer'!I21,'S1_D3_Retailer'!I21)</f>
        <v/>
      </c>
      <c r="F24" s="2">
        <f>CHOOSE(Inputs!$B$12,'S1_D1_Retailer'!J21,'S1_D2_Retailer'!J21,'S1_D3_Retailer'!J21)</f>
        <v/>
      </c>
      <c r="G24" s="2">
        <f>CHOOSE(Inputs!$B$12,'S1_D1_Retailer'!P21,'S1_D2_Retailer'!P21,'S1_D3_Retailer'!P21)</f>
        <v/>
      </c>
      <c r="H24" s="2">
        <f>CHOOSE(Inputs!$B$12,'S1_D1_Retailer'!K21,'S1_D2_Retailer'!K21,'S1_D3_Retailer'!K21)</f>
        <v/>
      </c>
      <c r="I24" s="2">
        <f>CHOOSE(Inputs!$B$12,'S1_D1_Retailer'!L21,'S1_D2_Retailer'!L21,'S1_D3_Retailer'!L21)</f>
        <v/>
      </c>
      <c r="J24" s="2">
        <f>CHOOSE(Inputs!$B$12,'S1_D1_Retailer'!M21,'S1_D2_Retailer'!M21,'S1_D3_Retailer'!M21)</f>
        <v/>
      </c>
      <c r="K24" s="2">
        <f>CHOOSE(Inputs!$B$12,'S1_D1_Retailer'!N21,'S1_D2_Retailer'!N21,'S1_D3_Retailer'!N21)</f>
        <v/>
      </c>
      <c r="L24" s="2">
        <f>CHOOSE(Inputs!$B$12,'S1_D1_Wholesaler'!C21,'S1_D2_Wholesaler'!C21,'S1_D3_Wholesaler'!C21)</f>
        <v/>
      </c>
      <c r="M24" s="2">
        <f>CHOOSE(Inputs!$B$12,'S1_D1_Wholesaler'!D21,'S1_D2_Wholesaler'!D21,'S1_D3_Wholesaler'!D21)</f>
        <v/>
      </c>
      <c r="N24" s="2">
        <f>CHOOSE(Inputs!$B$12,'S1_D1_Wholesaler'!H21,'S1_D2_Wholesaler'!H21,'S1_D3_Wholesaler'!H21)</f>
        <v/>
      </c>
      <c r="O24" s="2">
        <f>CHOOSE(Inputs!$B$12,'S1_D1_Wholesaler'!I21,'S1_D2_Wholesaler'!I21,'S1_D3_Wholesaler'!I21)</f>
        <v/>
      </c>
      <c r="P24" s="2">
        <f>CHOOSE(Inputs!$B$12,'S1_D1_Wholesaler'!J21,'S1_D2_Wholesaler'!J21,'S1_D3_Wholesaler'!J21)</f>
        <v/>
      </c>
      <c r="Q24" s="2">
        <f>CHOOSE(Inputs!$B$12,'S1_D1_Wholesaler'!P21,'S1_D2_Wholesaler'!P21,'S1_D3_Wholesaler'!P21)</f>
        <v/>
      </c>
      <c r="R24" s="2">
        <f>CHOOSE(Inputs!$B$12,'S1_D1_Wholesaler'!K21,'S1_D2_Wholesaler'!K21,'S1_D3_Wholesaler'!K21)</f>
        <v/>
      </c>
      <c r="S24" s="2">
        <f>CHOOSE(Inputs!$B$12,'S1_D1_Wholesaler'!L21,'S1_D2_Wholesaler'!L21,'S1_D3_Wholesaler'!L21)</f>
        <v/>
      </c>
      <c r="T24" s="2">
        <f>CHOOSE(Inputs!$B$12,'S1_D1_Wholesaler'!M21,'S1_D2_Wholesaler'!M21,'S1_D3_Wholesaler'!M21)</f>
        <v/>
      </c>
      <c r="U24" s="2">
        <f>CHOOSE(Inputs!$B$12,'S1_D1_Wholesaler'!N21,'S1_D2_Wholesaler'!N21,'S1_D3_Wholesaler'!N21)</f>
        <v/>
      </c>
      <c r="V24" s="2">
        <f>CHOOSE(Inputs!$B$12,'S1_D1_Distributor'!C21,'S1_D2_Distributor'!C21,'S1_D3_Distributor'!C21)</f>
        <v/>
      </c>
      <c r="W24" s="2">
        <f>CHOOSE(Inputs!$B$12,'S1_D1_Distributor'!D21,'S1_D2_Distributor'!D21,'S1_D3_Distributor'!D21)</f>
        <v/>
      </c>
      <c r="X24" s="2">
        <f>CHOOSE(Inputs!$B$12,'S1_D1_Distributor'!H21,'S1_D2_Distributor'!H21,'S1_D3_Distributor'!H21)</f>
        <v/>
      </c>
      <c r="Y24" s="2">
        <f>CHOOSE(Inputs!$B$12,'S1_D1_Distributor'!I21,'S1_D2_Distributor'!I21,'S1_D3_Distributor'!I21)</f>
        <v/>
      </c>
      <c r="Z24" s="2">
        <f>CHOOSE(Inputs!$B$12,'S1_D1_Distributor'!J21,'S1_D2_Distributor'!J21,'S1_D3_Distributor'!J21)</f>
        <v/>
      </c>
      <c r="AA24" s="2">
        <f>CHOOSE(Inputs!$B$12,'S1_D1_Distributor'!P21,'S1_D2_Distributor'!P21,'S1_D3_Distributor'!P21)</f>
        <v/>
      </c>
      <c r="AB24" s="2">
        <f>CHOOSE(Inputs!$B$12,'S1_D1_Distributor'!K21,'S1_D2_Distributor'!K21,'S1_D3_Distributor'!K21)</f>
        <v/>
      </c>
      <c r="AC24" s="2">
        <f>CHOOSE(Inputs!$B$12,'S1_D1_Distributor'!L21,'S1_D2_Distributor'!L21,'S1_D3_Distributor'!L21)</f>
        <v/>
      </c>
      <c r="AD24" s="2">
        <f>CHOOSE(Inputs!$B$12,'S1_D1_Distributor'!M21,'S1_D2_Distributor'!M21,'S1_D3_Distributor'!M21)</f>
        <v/>
      </c>
      <c r="AE24" s="2">
        <f>CHOOSE(Inputs!$B$12,'S1_D1_Distributor'!N21,'S1_D2_Distributor'!N21,'S1_D3_Distributor'!N21)</f>
        <v/>
      </c>
      <c r="AF24" s="2">
        <f>CHOOSE(Inputs!$B$12,'S1_D1_Factory'!C21,'S1_D2_Factory'!C21,'S1_D3_Factory'!C21)</f>
        <v/>
      </c>
      <c r="AG24" s="2">
        <f>CHOOSE(Inputs!$B$12,'S1_D1_Factory'!D21,'S1_D2_Factory'!D21,'S1_D3_Factory'!D21)</f>
        <v/>
      </c>
      <c r="AH24" s="2">
        <f>CHOOSE(Inputs!$B$12,'S1_D1_Factory'!H21,'S1_D2_Factory'!H21,'S1_D3_Factory'!H21)</f>
        <v/>
      </c>
      <c r="AI24" s="2">
        <f>CHOOSE(Inputs!$B$12,'S1_D1_Factory'!I21,'S1_D2_Factory'!I21,'S1_D3_Factory'!I21)</f>
        <v/>
      </c>
      <c r="AJ24" s="2">
        <f>CHOOSE(Inputs!$B$12,'S1_D1_Factory'!J21,'S1_D2_Factory'!J21,'S1_D3_Factory'!J21)</f>
        <v/>
      </c>
      <c r="AK24" s="2">
        <f>CHOOSE(Inputs!$B$12,'S1_D1_Factory'!P21,'S1_D2_Factory'!P21,'S1_D3_Factory'!P21)</f>
        <v/>
      </c>
      <c r="AL24" s="2">
        <f>CHOOSE(Inputs!$B$12,'S1_D1_Factory'!K21,'S1_D2_Factory'!K21,'S1_D3_Factory'!K21)</f>
        <v/>
      </c>
      <c r="AM24" s="2">
        <f>CHOOSE(Inputs!$B$12,'S1_D1_Factory'!L21,'S1_D2_Factory'!L21,'S1_D3_Factory'!L21)</f>
        <v/>
      </c>
      <c r="AN24" s="2">
        <f>CHOOSE(Inputs!$B$12,'S1_D1_Factory'!M21,'S1_D2_Factory'!M21,'S1_D3_Factory'!M21)</f>
        <v/>
      </c>
      <c r="AO24" s="2">
        <f>CHOOSE(Inputs!$B$12,'S1_D1_Factory'!N21,'S1_D2_Factory'!N21,'S1_D3_Factory'!N21)</f>
        <v/>
      </c>
      <c r="AP24" s="2">
        <f>SUM(H24,R24,AB24,AL24)</f>
        <v/>
      </c>
      <c r="AQ24" s="2">
        <f>SUM(I24,S24,AC24,AM24)</f>
        <v/>
      </c>
      <c r="AR24" s="2">
        <f>SUM(J24,T24,AD24,AN24)</f>
        <v/>
      </c>
      <c r="AS24" s="2">
        <f>AS23+AR24</f>
        <v/>
      </c>
    </row>
    <row r="25">
      <c r="A25" s="2" t="n">
        <v>21</v>
      </c>
      <c r="B25" s="2">
        <f>CHOOSE(Inputs!$B$12,'S1_D1_Retailer'!C22,'S1_D2_Retailer'!C22,'S1_D3_Retailer'!C22)</f>
        <v/>
      </c>
      <c r="C25" s="2">
        <f>CHOOSE(Inputs!$B$12,'S1_D1_Retailer'!D22,'S1_D2_Retailer'!D22,'S1_D3_Retailer'!D22)</f>
        <v/>
      </c>
      <c r="D25" s="2">
        <f>CHOOSE(Inputs!$B$12,'S1_D1_Retailer'!H22,'S1_D2_Retailer'!H22,'S1_D3_Retailer'!H22)</f>
        <v/>
      </c>
      <c r="E25" s="2">
        <f>CHOOSE(Inputs!$B$12,'S1_D1_Retailer'!I22,'S1_D2_Retailer'!I22,'S1_D3_Retailer'!I22)</f>
        <v/>
      </c>
      <c r="F25" s="2">
        <f>CHOOSE(Inputs!$B$12,'S1_D1_Retailer'!J22,'S1_D2_Retailer'!J22,'S1_D3_Retailer'!J22)</f>
        <v/>
      </c>
      <c r="G25" s="2">
        <f>CHOOSE(Inputs!$B$12,'S1_D1_Retailer'!P22,'S1_D2_Retailer'!P22,'S1_D3_Retailer'!P22)</f>
        <v/>
      </c>
      <c r="H25" s="2">
        <f>CHOOSE(Inputs!$B$12,'S1_D1_Retailer'!K22,'S1_D2_Retailer'!K22,'S1_D3_Retailer'!K22)</f>
        <v/>
      </c>
      <c r="I25" s="2">
        <f>CHOOSE(Inputs!$B$12,'S1_D1_Retailer'!L22,'S1_D2_Retailer'!L22,'S1_D3_Retailer'!L22)</f>
        <v/>
      </c>
      <c r="J25" s="2">
        <f>CHOOSE(Inputs!$B$12,'S1_D1_Retailer'!M22,'S1_D2_Retailer'!M22,'S1_D3_Retailer'!M22)</f>
        <v/>
      </c>
      <c r="K25" s="2">
        <f>CHOOSE(Inputs!$B$12,'S1_D1_Retailer'!N22,'S1_D2_Retailer'!N22,'S1_D3_Retailer'!N22)</f>
        <v/>
      </c>
      <c r="L25" s="2">
        <f>CHOOSE(Inputs!$B$12,'S1_D1_Wholesaler'!C22,'S1_D2_Wholesaler'!C22,'S1_D3_Wholesaler'!C22)</f>
        <v/>
      </c>
      <c r="M25" s="2">
        <f>CHOOSE(Inputs!$B$12,'S1_D1_Wholesaler'!D22,'S1_D2_Wholesaler'!D22,'S1_D3_Wholesaler'!D22)</f>
        <v/>
      </c>
      <c r="N25" s="2">
        <f>CHOOSE(Inputs!$B$12,'S1_D1_Wholesaler'!H22,'S1_D2_Wholesaler'!H22,'S1_D3_Wholesaler'!H22)</f>
        <v/>
      </c>
      <c r="O25" s="2">
        <f>CHOOSE(Inputs!$B$12,'S1_D1_Wholesaler'!I22,'S1_D2_Wholesaler'!I22,'S1_D3_Wholesaler'!I22)</f>
        <v/>
      </c>
      <c r="P25" s="2">
        <f>CHOOSE(Inputs!$B$12,'S1_D1_Wholesaler'!J22,'S1_D2_Wholesaler'!J22,'S1_D3_Wholesaler'!J22)</f>
        <v/>
      </c>
      <c r="Q25" s="2">
        <f>CHOOSE(Inputs!$B$12,'S1_D1_Wholesaler'!P22,'S1_D2_Wholesaler'!P22,'S1_D3_Wholesaler'!P22)</f>
        <v/>
      </c>
      <c r="R25" s="2">
        <f>CHOOSE(Inputs!$B$12,'S1_D1_Wholesaler'!K22,'S1_D2_Wholesaler'!K22,'S1_D3_Wholesaler'!K22)</f>
        <v/>
      </c>
      <c r="S25" s="2">
        <f>CHOOSE(Inputs!$B$12,'S1_D1_Wholesaler'!L22,'S1_D2_Wholesaler'!L22,'S1_D3_Wholesaler'!L22)</f>
        <v/>
      </c>
      <c r="T25" s="2">
        <f>CHOOSE(Inputs!$B$12,'S1_D1_Wholesaler'!M22,'S1_D2_Wholesaler'!M22,'S1_D3_Wholesaler'!M22)</f>
        <v/>
      </c>
      <c r="U25" s="2">
        <f>CHOOSE(Inputs!$B$12,'S1_D1_Wholesaler'!N22,'S1_D2_Wholesaler'!N22,'S1_D3_Wholesaler'!N22)</f>
        <v/>
      </c>
      <c r="V25" s="2">
        <f>CHOOSE(Inputs!$B$12,'S1_D1_Distributor'!C22,'S1_D2_Distributor'!C22,'S1_D3_Distributor'!C22)</f>
        <v/>
      </c>
      <c r="W25" s="2">
        <f>CHOOSE(Inputs!$B$12,'S1_D1_Distributor'!D22,'S1_D2_Distributor'!D22,'S1_D3_Distributor'!D22)</f>
        <v/>
      </c>
      <c r="X25" s="2">
        <f>CHOOSE(Inputs!$B$12,'S1_D1_Distributor'!H22,'S1_D2_Distributor'!H22,'S1_D3_Distributor'!H22)</f>
        <v/>
      </c>
      <c r="Y25" s="2">
        <f>CHOOSE(Inputs!$B$12,'S1_D1_Distributor'!I22,'S1_D2_Distributor'!I22,'S1_D3_Distributor'!I22)</f>
        <v/>
      </c>
      <c r="Z25" s="2">
        <f>CHOOSE(Inputs!$B$12,'S1_D1_Distributor'!J22,'S1_D2_Distributor'!J22,'S1_D3_Distributor'!J22)</f>
        <v/>
      </c>
      <c r="AA25" s="2">
        <f>CHOOSE(Inputs!$B$12,'S1_D1_Distributor'!P22,'S1_D2_Distributor'!P22,'S1_D3_Distributor'!P22)</f>
        <v/>
      </c>
      <c r="AB25" s="2">
        <f>CHOOSE(Inputs!$B$12,'S1_D1_Distributor'!K22,'S1_D2_Distributor'!K22,'S1_D3_Distributor'!K22)</f>
        <v/>
      </c>
      <c r="AC25" s="2">
        <f>CHOOSE(Inputs!$B$12,'S1_D1_Distributor'!L22,'S1_D2_Distributor'!L22,'S1_D3_Distributor'!L22)</f>
        <v/>
      </c>
      <c r="AD25" s="2">
        <f>CHOOSE(Inputs!$B$12,'S1_D1_Distributor'!M22,'S1_D2_Distributor'!M22,'S1_D3_Distributor'!M22)</f>
        <v/>
      </c>
      <c r="AE25" s="2">
        <f>CHOOSE(Inputs!$B$12,'S1_D1_Distributor'!N22,'S1_D2_Distributor'!N22,'S1_D3_Distributor'!N22)</f>
        <v/>
      </c>
      <c r="AF25" s="2">
        <f>CHOOSE(Inputs!$B$12,'S1_D1_Factory'!C22,'S1_D2_Factory'!C22,'S1_D3_Factory'!C22)</f>
        <v/>
      </c>
      <c r="AG25" s="2">
        <f>CHOOSE(Inputs!$B$12,'S1_D1_Factory'!D22,'S1_D2_Factory'!D22,'S1_D3_Factory'!D22)</f>
        <v/>
      </c>
      <c r="AH25" s="2">
        <f>CHOOSE(Inputs!$B$12,'S1_D1_Factory'!H22,'S1_D2_Factory'!H22,'S1_D3_Factory'!H22)</f>
        <v/>
      </c>
      <c r="AI25" s="2">
        <f>CHOOSE(Inputs!$B$12,'S1_D1_Factory'!I22,'S1_D2_Factory'!I22,'S1_D3_Factory'!I22)</f>
        <v/>
      </c>
      <c r="AJ25" s="2">
        <f>CHOOSE(Inputs!$B$12,'S1_D1_Factory'!J22,'S1_D2_Factory'!J22,'S1_D3_Factory'!J22)</f>
        <v/>
      </c>
      <c r="AK25" s="2">
        <f>CHOOSE(Inputs!$B$12,'S1_D1_Factory'!P22,'S1_D2_Factory'!P22,'S1_D3_Factory'!P22)</f>
        <v/>
      </c>
      <c r="AL25" s="2">
        <f>CHOOSE(Inputs!$B$12,'S1_D1_Factory'!K22,'S1_D2_Factory'!K22,'S1_D3_Factory'!K22)</f>
        <v/>
      </c>
      <c r="AM25" s="2">
        <f>CHOOSE(Inputs!$B$12,'S1_D1_Factory'!L22,'S1_D2_Factory'!L22,'S1_D3_Factory'!L22)</f>
        <v/>
      </c>
      <c r="AN25" s="2">
        <f>CHOOSE(Inputs!$B$12,'S1_D1_Factory'!M22,'S1_D2_Factory'!M22,'S1_D3_Factory'!M22)</f>
        <v/>
      </c>
      <c r="AO25" s="2">
        <f>CHOOSE(Inputs!$B$12,'S1_D1_Factory'!N22,'S1_D2_Factory'!N22,'S1_D3_Factory'!N22)</f>
        <v/>
      </c>
      <c r="AP25" s="2">
        <f>SUM(H25,R25,AB25,AL25)</f>
        <v/>
      </c>
      <c r="AQ25" s="2">
        <f>SUM(I25,S25,AC25,AM25)</f>
        <v/>
      </c>
      <c r="AR25" s="2">
        <f>SUM(J25,T25,AD25,AN25)</f>
        <v/>
      </c>
      <c r="AS25" s="2">
        <f>AS24+AR25</f>
        <v/>
      </c>
    </row>
    <row r="26">
      <c r="A26" s="2" t="n">
        <v>22</v>
      </c>
      <c r="B26" s="2">
        <f>CHOOSE(Inputs!$B$12,'S1_D1_Retailer'!C23,'S1_D2_Retailer'!C23,'S1_D3_Retailer'!C23)</f>
        <v/>
      </c>
      <c r="C26" s="2">
        <f>CHOOSE(Inputs!$B$12,'S1_D1_Retailer'!D23,'S1_D2_Retailer'!D23,'S1_D3_Retailer'!D23)</f>
        <v/>
      </c>
      <c r="D26" s="2">
        <f>CHOOSE(Inputs!$B$12,'S1_D1_Retailer'!H23,'S1_D2_Retailer'!H23,'S1_D3_Retailer'!H23)</f>
        <v/>
      </c>
      <c r="E26" s="2">
        <f>CHOOSE(Inputs!$B$12,'S1_D1_Retailer'!I23,'S1_D2_Retailer'!I23,'S1_D3_Retailer'!I23)</f>
        <v/>
      </c>
      <c r="F26" s="2">
        <f>CHOOSE(Inputs!$B$12,'S1_D1_Retailer'!J23,'S1_D2_Retailer'!J23,'S1_D3_Retailer'!J23)</f>
        <v/>
      </c>
      <c r="G26" s="2">
        <f>CHOOSE(Inputs!$B$12,'S1_D1_Retailer'!P23,'S1_D2_Retailer'!P23,'S1_D3_Retailer'!P23)</f>
        <v/>
      </c>
      <c r="H26" s="2">
        <f>CHOOSE(Inputs!$B$12,'S1_D1_Retailer'!K23,'S1_D2_Retailer'!K23,'S1_D3_Retailer'!K23)</f>
        <v/>
      </c>
      <c r="I26" s="2">
        <f>CHOOSE(Inputs!$B$12,'S1_D1_Retailer'!L23,'S1_D2_Retailer'!L23,'S1_D3_Retailer'!L23)</f>
        <v/>
      </c>
      <c r="J26" s="2">
        <f>CHOOSE(Inputs!$B$12,'S1_D1_Retailer'!M23,'S1_D2_Retailer'!M23,'S1_D3_Retailer'!M23)</f>
        <v/>
      </c>
      <c r="K26" s="2">
        <f>CHOOSE(Inputs!$B$12,'S1_D1_Retailer'!N23,'S1_D2_Retailer'!N23,'S1_D3_Retailer'!N23)</f>
        <v/>
      </c>
      <c r="L26" s="2">
        <f>CHOOSE(Inputs!$B$12,'S1_D1_Wholesaler'!C23,'S1_D2_Wholesaler'!C23,'S1_D3_Wholesaler'!C23)</f>
        <v/>
      </c>
      <c r="M26" s="2">
        <f>CHOOSE(Inputs!$B$12,'S1_D1_Wholesaler'!D23,'S1_D2_Wholesaler'!D23,'S1_D3_Wholesaler'!D23)</f>
        <v/>
      </c>
      <c r="N26" s="2">
        <f>CHOOSE(Inputs!$B$12,'S1_D1_Wholesaler'!H23,'S1_D2_Wholesaler'!H23,'S1_D3_Wholesaler'!H23)</f>
        <v/>
      </c>
      <c r="O26" s="2">
        <f>CHOOSE(Inputs!$B$12,'S1_D1_Wholesaler'!I23,'S1_D2_Wholesaler'!I23,'S1_D3_Wholesaler'!I23)</f>
        <v/>
      </c>
      <c r="P26" s="2">
        <f>CHOOSE(Inputs!$B$12,'S1_D1_Wholesaler'!J23,'S1_D2_Wholesaler'!J23,'S1_D3_Wholesaler'!J23)</f>
        <v/>
      </c>
      <c r="Q26" s="2">
        <f>CHOOSE(Inputs!$B$12,'S1_D1_Wholesaler'!P23,'S1_D2_Wholesaler'!P23,'S1_D3_Wholesaler'!P23)</f>
        <v/>
      </c>
      <c r="R26" s="2">
        <f>CHOOSE(Inputs!$B$12,'S1_D1_Wholesaler'!K23,'S1_D2_Wholesaler'!K23,'S1_D3_Wholesaler'!K23)</f>
        <v/>
      </c>
      <c r="S26" s="2">
        <f>CHOOSE(Inputs!$B$12,'S1_D1_Wholesaler'!L23,'S1_D2_Wholesaler'!L23,'S1_D3_Wholesaler'!L23)</f>
        <v/>
      </c>
      <c r="T26" s="2">
        <f>CHOOSE(Inputs!$B$12,'S1_D1_Wholesaler'!M23,'S1_D2_Wholesaler'!M23,'S1_D3_Wholesaler'!M23)</f>
        <v/>
      </c>
      <c r="U26" s="2">
        <f>CHOOSE(Inputs!$B$12,'S1_D1_Wholesaler'!N23,'S1_D2_Wholesaler'!N23,'S1_D3_Wholesaler'!N23)</f>
        <v/>
      </c>
      <c r="V26" s="2">
        <f>CHOOSE(Inputs!$B$12,'S1_D1_Distributor'!C23,'S1_D2_Distributor'!C23,'S1_D3_Distributor'!C23)</f>
        <v/>
      </c>
      <c r="W26" s="2">
        <f>CHOOSE(Inputs!$B$12,'S1_D1_Distributor'!D23,'S1_D2_Distributor'!D23,'S1_D3_Distributor'!D23)</f>
        <v/>
      </c>
      <c r="X26" s="2">
        <f>CHOOSE(Inputs!$B$12,'S1_D1_Distributor'!H23,'S1_D2_Distributor'!H23,'S1_D3_Distributor'!H23)</f>
        <v/>
      </c>
      <c r="Y26" s="2">
        <f>CHOOSE(Inputs!$B$12,'S1_D1_Distributor'!I23,'S1_D2_Distributor'!I23,'S1_D3_Distributor'!I23)</f>
        <v/>
      </c>
      <c r="Z26" s="2">
        <f>CHOOSE(Inputs!$B$12,'S1_D1_Distributor'!J23,'S1_D2_Distributor'!J23,'S1_D3_Distributor'!J23)</f>
        <v/>
      </c>
      <c r="AA26" s="2">
        <f>CHOOSE(Inputs!$B$12,'S1_D1_Distributor'!P23,'S1_D2_Distributor'!P23,'S1_D3_Distributor'!P23)</f>
        <v/>
      </c>
      <c r="AB26" s="2">
        <f>CHOOSE(Inputs!$B$12,'S1_D1_Distributor'!K23,'S1_D2_Distributor'!K23,'S1_D3_Distributor'!K23)</f>
        <v/>
      </c>
      <c r="AC26" s="2">
        <f>CHOOSE(Inputs!$B$12,'S1_D1_Distributor'!L23,'S1_D2_Distributor'!L23,'S1_D3_Distributor'!L23)</f>
        <v/>
      </c>
      <c r="AD26" s="2">
        <f>CHOOSE(Inputs!$B$12,'S1_D1_Distributor'!M23,'S1_D2_Distributor'!M23,'S1_D3_Distributor'!M23)</f>
        <v/>
      </c>
      <c r="AE26" s="2">
        <f>CHOOSE(Inputs!$B$12,'S1_D1_Distributor'!N23,'S1_D2_Distributor'!N23,'S1_D3_Distributor'!N23)</f>
        <v/>
      </c>
      <c r="AF26" s="2">
        <f>CHOOSE(Inputs!$B$12,'S1_D1_Factory'!C23,'S1_D2_Factory'!C23,'S1_D3_Factory'!C23)</f>
        <v/>
      </c>
      <c r="AG26" s="2">
        <f>CHOOSE(Inputs!$B$12,'S1_D1_Factory'!D23,'S1_D2_Factory'!D23,'S1_D3_Factory'!D23)</f>
        <v/>
      </c>
      <c r="AH26" s="2">
        <f>CHOOSE(Inputs!$B$12,'S1_D1_Factory'!H23,'S1_D2_Factory'!H23,'S1_D3_Factory'!H23)</f>
        <v/>
      </c>
      <c r="AI26" s="2">
        <f>CHOOSE(Inputs!$B$12,'S1_D1_Factory'!I23,'S1_D2_Factory'!I23,'S1_D3_Factory'!I23)</f>
        <v/>
      </c>
      <c r="AJ26" s="2">
        <f>CHOOSE(Inputs!$B$12,'S1_D1_Factory'!J23,'S1_D2_Factory'!J23,'S1_D3_Factory'!J23)</f>
        <v/>
      </c>
      <c r="AK26" s="2">
        <f>CHOOSE(Inputs!$B$12,'S1_D1_Factory'!P23,'S1_D2_Factory'!P23,'S1_D3_Factory'!P23)</f>
        <v/>
      </c>
      <c r="AL26" s="2">
        <f>CHOOSE(Inputs!$B$12,'S1_D1_Factory'!K23,'S1_D2_Factory'!K23,'S1_D3_Factory'!K23)</f>
        <v/>
      </c>
      <c r="AM26" s="2">
        <f>CHOOSE(Inputs!$B$12,'S1_D1_Factory'!L23,'S1_D2_Factory'!L23,'S1_D3_Factory'!L23)</f>
        <v/>
      </c>
      <c r="AN26" s="2">
        <f>CHOOSE(Inputs!$B$12,'S1_D1_Factory'!M23,'S1_D2_Factory'!M23,'S1_D3_Factory'!M23)</f>
        <v/>
      </c>
      <c r="AO26" s="2">
        <f>CHOOSE(Inputs!$B$12,'S1_D1_Factory'!N23,'S1_D2_Factory'!N23,'S1_D3_Factory'!N23)</f>
        <v/>
      </c>
      <c r="AP26" s="2">
        <f>SUM(H26,R26,AB26,AL26)</f>
        <v/>
      </c>
      <c r="AQ26" s="2">
        <f>SUM(I26,S26,AC26,AM26)</f>
        <v/>
      </c>
      <c r="AR26" s="2">
        <f>SUM(J26,T26,AD26,AN26)</f>
        <v/>
      </c>
      <c r="AS26" s="2">
        <f>AS25+AR26</f>
        <v/>
      </c>
    </row>
    <row r="27">
      <c r="A27" s="2" t="n">
        <v>23</v>
      </c>
      <c r="B27" s="2">
        <f>CHOOSE(Inputs!$B$12,'S1_D1_Retailer'!C24,'S1_D2_Retailer'!C24,'S1_D3_Retailer'!C24)</f>
        <v/>
      </c>
      <c r="C27" s="2">
        <f>CHOOSE(Inputs!$B$12,'S1_D1_Retailer'!D24,'S1_D2_Retailer'!D24,'S1_D3_Retailer'!D24)</f>
        <v/>
      </c>
      <c r="D27" s="2">
        <f>CHOOSE(Inputs!$B$12,'S1_D1_Retailer'!H24,'S1_D2_Retailer'!H24,'S1_D3_Retailer'!H24)</f>
        <v/>
      </c>
      <c r="E27" s="2">
        <f>CHOOSE(Inputs!$B$12,'S1_D1_Retailer'!I24,'S1_D2_Retailer'!I24,'S1_D3_Retailer'!I24)</f>
        <v/>
      </c>
      <c r="F27" s="2">
        <f>CHOOSE(Inputs!$B$12,'S1_D1_Retailer'!J24,'S1_D2_Retailer'!J24,'S1_D3_Retailer'!J24)</f>
        <v/>
      </c>
      <c r="G27" s="2">
        <f>CHOOSE(Inputs!$B$12,'S1_D1_Retailer'!P24,'S1_D2_Retailer'!P24,'S1_D3_Retailer'!P24)</f>
        <v/>
      </c>
      <c r="H27" s="2">
        <f>CHOOSE(Inputs!$B$12,'S1_D1_Retailer'!K24,'S1_D2_Retailer'!K24,'S1_D3_Retailer'!K24)</f>
        <v/>
      </c>
      <c r="I27" s="2">
        <f>CHOOSE(Inputs!$B$12,'S1_D1_Retailer'!L24,'S1_D2_Retailer'!L24,'S1_D3_Retailer'!L24)</f>
        <v/>
      </c>
      <c r="J27" s="2">
        <f>CHOOSE(Inputs!$B$12,'S1_D1_Retailer'!M24,'S1_D2_Retailer'!M24,'S1_D3_Retailer'!M24)</f>
        <v/>
      </c>
      <c r="K27" s="2">
        <f>CHOOSE(Inputs!$B$12,'S1_D1_Retailer'!N24,'S1_D2_Retailer'!N24,'S1_D3_Retailer'!N24)</f>
        <v/>
      </c>
      <c r="L27" s="2">
        <f>CHOOSE(Inputs!$B$12,'S1_D1_Wholesaler'!C24,'S1_D2_Wholesaler'!C24,'S1_D3_Wholesaler'!C24)</f>
        <v/>
      </c>
      <c r="M27" s="2">
        <f>CHOOSE(Inputs!$B$12,'S1_D1_Wholesaler'!D24,'S1_D2_Wholesaler'!D24,'S1_D3_Wholesaler'!D24)</f>
        <v/>
      </c>
      <c r="N27" s="2">
        <f>CHOOSE(Inputs!$B$12,'S1_D1_Wholesaler'!H24,'S1_D2_Wholesaler'!H24,'S1_D3_Wholesaler'!H24)</f>
        <v/>
      </c>
      <c r="O27" s="2">
        <f>CHOOSE(Inputs!$B$12,'S1_D1_Wholesaler'!I24,'S1_D2_Wholesaler'!I24,'S1_D3_Wholesaler'!I24)</f>
        <v/>
      </c>
      <c r="P27" s="2">
        <f>CHOOSE(Inputs!$B$12,'S1_D1_Wholesaler'!J24,'S1_D2_Wholesaler'!J24,'S1_D3_Wholesaler'!J24)</f>
        <v/>
      </c>
      <c r="Q27" s="2">
        <f>CHOOSE(Inputs!$B$12,'S1_D1_Wholesaler'!P24,'S1_D2_Wholesaler'!P24,'S1_D3_Wholesaler'!P24)</f>
        <v/>
      </c>
      <c r="R27" s="2">
        <f>CHOOSE(Inputs!$B$12,'S1_D1_Wholesaler'!K24,'S1_D2_Wholesaler'!K24,'S1_D3_Wholesaler'!K24)</f>
        <v/>
      </c>
      <c r="S27" s="2">
        <f>CHOOSE(Inputs!$B$12,'S1_D1_Wholesaler'!L24,'S1_D2_Wholesaler'!L24,'S1_D3_Wholesaler'!L24)</f>
        <v/>
      </c>
      <c r="T27" s="2">
        <f>CHOOSE(Inputs!$B$12,'S1_D1_Wholesaler'!M24,'S1_D2_Wholesaler'!M24,'S1_D3_Wholesaler'!M24)</f>
        <v/>
      </c>
      <c r="U27" s="2">
        <f>CHOOSE(Inputs!$B$12,'S1_D1_Wholesaler'!N24,'S1_D2_Wholesaler'!N24,'S1_D3_Wholesaler'!N24)</f>
        <v/>
      </c>
      <c r="V27" s="2">
        <f>CHOOSE(Inputs!$B$12,'S1_D1_Distributor'!C24,'S1_D2_Distributor'!C24,'S1_D3_Distributor'!C24)</f>
        <v/>
      </c>
      <c r="W27" s="2">
        <f>CHOOSE(Inputs!$B$12,'S1_D1_Distributor'!D24,'S1_D2_Distributor'!D24,'S1_D3_Distributor'!D24)</f>
        <v/>
      </c>
      <c r="X27" s="2">
        <f>CHOOSE(Inputs!$B$12,'S1_D1_Distributor'!H24,'S1_D2_Distributor'!H24,'S1_D3_Distributor'!H24)</f>
        <v/>
      </c>
      <c r="Y27" s="2">
        <f>CHOOSE(Inputs!$B$12,'S1_D1_Distributor'!I24,'S1_D2_Distributor'!I24,'S1_D3_Distributor'!I24)</f>
        <v/>
      </c>
      <c r="Z27" s="2">
        <f>CHOOSE(Inputs!$B$12,'S1_D1_Distributor'!J24,'S1_D2_Distributor'!J24,'S1_D3_Distributor'!J24)</f>
        <v/>
      </c>
      <c r="AA27" s="2">
        <f>CHOOSE(Inputs!$B$12,'S1_D1_Distributor'!P24,'S1_D2_Distributor'!P24,'S1_D3_Distributor'!P24)</f>
        <v/>
      </c>
      <c r="AB27" s="2">
        <f>CHOOSE(Inputs!$B$12,'S1_D1_Distributor'!K24,'S1_D2_Distributor'!K24,'S1_D3_Distributor'!K24)</f>
        <v/>
      </c>
      <c r="AC27" s="2">
        <f>CHOOSE(Inputs!$B$12,'S1_D1_Distributor'!L24,'S1_D2_Distributor'!L24,'S1_D3_Distributor'!L24)</f>
        <v/>
      </c>
      <c r="AD27" s="2">
        <f>CHOOSE(Inputs!$B$12,'S1_D1_Distributor'!M24,'S1_D2_Distributor'!M24,'S1_D3_Distributor'!M24)</f>
        <v/>
      </c>
      <c r="AE27" s="2">
        <f>CHOOSE(Inputs!$B$12,'S1_D1_Distributor'!N24,'S1_D2_Distributor'!N24,'S1_D3_Distributor'!N24)</f>
        <v/>
      </c>
      <c r="AF27" s="2">
        <f>CHOOSE(Inputs!$B$12,'S1_D1_Factory'!C24,'S1_D2_Factory'!C24,'S1_D3_Factory'!C24)</f>
        <v/>
      </c>
      <c r="AG27" s="2">
        <f>CHOOSE(Inputs!$B$12,'S1_D1_Factory'!D24,'S1_D2_Factory'!D24,'S1_D3_Factory'!D24)</f>
        <v/>
      </c>
      <c r="AH27" s="2">
        <f>CHOOSE(Inputs!$B$12,'S1_D1_Factory'!H24,'S1_D2_Factory'!H24,'S1_D3_Factory'!H24)</f>
        <v/>
      </c>
      <c r="AI27" s="2">
        <f>CHOOSE(Inputs!$B$12,'S1_D1_Factory'!I24,'S1_D2_Factory'!I24,'S1_D3_Factory'!I24)</f>
        <v/>
      </c>
      <c r="AJ27" s="2">
        <f>CHOOSE(Inputs!$B$12,'S1_D1_Factory'!J24,'S1_D2_Factory'!J24,'S1_D3_Factory'!J24)</f>
        <v/>
      </c>
      <c r="AK27" s="2">
        <f>CHOOSE(Inputs!$B$12,'S1_D1_Factory'!P24,'S1_D2_Factory'!P24,'S1_D3_Factory'!P24)</f>
        <v/>
      </c>
      <c r="AL27" s="2">
        <f>CHOOSE(Inputs!$B$12,'S1_D1_Factory'!K24,'S1_D2_Factory'!K24,'S1_D3_Factory'!K24)</f>
        <v/>
      </c>
      <c r="AM27" s="2">
        <f>CHOOSE(Inputs!$B$12,'S1_D1_Factory'!L24,'S1_D2_Factory'!L24,'S1_D3_Factory'!L24)</f>
        <v/>
      </c>
      <c r="AN27" s="2">
        <f>CHOOSE(Inputs!$B$12,'S1_D1_Factory'!M24,'S1_D2_Factory'!M24,'S1_D3_Factory'!M24)</f>
        <v/>
      </c>
      <c r="AO27" s="2">
        <f>CHOOSE(Inputs!$B$12,'S1_D1_Factory'!N24,'S1_D2_Factory'!N24,'S1_D3_Factory'!N24)</f>
        <v/>
      </c>
      <c r="AP27" s="2">
        <f>SUM(H27,R27,AB27,AL27)</f>
        <v/>
      </c>
      <c r="AQ27" s="2">
        <f>SUM(I27,S27,AC27,AM27)</f>
        <v/>
      </c>
      <c r="AR27" s="2">
        <f>SUM(J27,T27,AD27,AN27)</f>
        <v/>
      </c>
      <c r="AS27" s="2">
        <f>AS26+AR27</f>
        <v/>
      </c>
    </row>
    <row r="28">
      <c r="A28" s="2" t="n">
        <v>24</v>
      </c>
      <c r="B28" s="2">
        <f>CHOOSE(Inputs!$B$12,'S1_D1_Retailer'!C25,'S1_D2_Retailer'!C25,'S1_D3_Retailer'!C25)</f>
        <v/>
      </c>
      <c r="C28" s="2">
        <f>CHOOSE(Inputs!$B$12,'S1_D1_Retailer'!D25,'S1_D2_Retailer'!D25,'S1_D3_Retailer'!D25)</f>
        <v/>
      </c>
      <c r="D28" s="2">
        <f>CHOOSE(Inputs!$B$12,'S1_D1_Retailer'!H25,'S1_D2_Retailer'!H25,'S1_D3_Retailer'!H25)</f>
        <v/>
      </c>
      <c r="E28" s="2">
        <f>CHOOSE(Inputs!$B$12,'S1_D1_Retailer'!I25,'S1_D2_Retailer'!I25,'S1_D3_Retailer'!I25)</f>
        <v/>
      </c>
      <c r="F28" s="2">
        <f>CHOOSE(Inputs!$B$12,'S1_D1_Retailer'!J25,'S1_D2_Retailer'!J25,'S1_D3_Retailer'!J25)</f>
        <v/>
      </c>
      <c r="G28" s="2">
        <f>CHOOSE(Inputs!$B$12,'S1_D1_Retailer'!P25,'S1_D2_Retailer'!P25,'S1_D3_Retailer'!P25)</f>
        <v/>
      </c>
      <c r="H28" s="2">
        <f>CHOOSE(Inputs!$B$12,'S1_D1_Retailer'!K25,'S1_D2_Retailer'!K25,'S1_D3_Retailer'!K25)</f>
        <v/>
      </c>
      <c r="I28" s="2">
        <f>CHOOSE(Inputs!$B$12,'S1_D1_Retailer'!L25,'S1_D2_Retailer'!L25,'S1_D3_Retailer'!L25)</f>
        <v/>
      </c>
      <c r="J28" s="2">
        <f>CHOOSE(Inputs!$B$12,'S1_D1_Retailer'!M25,'S1_D2_Retailer'!M25,'S1_D3_Retailer'!M25)</f>
        <v/>
      </c>
      <c r="K28" s="2">
        <f>CHOOSE(Inputs!$B$12,'S1_D1_Retailer'!N25,'S1_D2_Retailer'!N25,'S1_D3_Retailer'!N25)</f>
        <v/>
      </c>
      <c r="L28" s="2">
        <f>CHOOSE(Inputs!$B$12,'S1_D1_Wholesaler'!C25,'S1_D2_Wholesaler'!C25,'S1_D3_Wholesaler'!C25)</f>
        <v/>
      </c>
      <c r="M28" s="2">
        <f>CHOOSE(Inputs!$B$12,'S1_D1_Wholesaler'!D25,'S1_D2_Wholesaler'!D25,'S1_D3_Wholesaler'!D25)</f>
        <v/>
      </c>
      <c r="N28" s="2">
        <f>CHOOSE(Inputs!$B$12,'S1_D1_Wholesaler'!H25,'S1_D2_Wholesaler'!H25,'S1_D3_Wholesaler'!H25)</f>
        <v/>
      </c>
      <c r="O28" s="2">
        <f>CHOOSE(Inputs!$B$12,'S1_D1_Wholesaler'!I25,'S1_D2_Wholesaler'!I25,'S1_D3_Wholesaler'!I25)</f>
        <v/>
      </c>
      <c r="P28" s="2">
        <f>CHOOSE(Inputs!$B$12,'S1_D1_Wholesaler'!J25,'S1_D2_Wholesaler'!J25,'S1_D3_Wholesaler'!J25)</f>
        <v/>
      </c>
      <c r="Q28" s="2">
        <f>CHOOSE(Inputs!$B$12,'S1_D1_Wholesaler'!P25,'S1_D2_Wholesaler'!P25,'S1_D3_Wholesaler'!P25)</f>
        <v/>
      </c>
      <c r="R28" s="2">
        <f>CHOOSE(Inputs!$B$12,'S1_D1_Wholesaler'!K25,'S1_D2_Wholesaler'!K25,'S1_D3_Wholesaler'!K25)</f>
        <v/>
      </c>
      <c r="S28" s="2">
        <f>CHOOSE(Inputs!$B$12,'S1_D1_Wholesaler'!L25,'S1_D2_Wholesaler'!L25,'S1_D3_Wholesaler'!L25)</f>
        <v/>
      </c>
      <c r="T28" s="2">
        <f>CHOOSE(Inputs!$B$12,'S1_D1_Wholesaler'!M25,'S1_D2_Wholesaler'!M25,'S1_D3_Wholesaler'!M25)</f>
        <v/>
      </c>
      <c r="U28" s="2">
        <f>CHOOSE(Inputs!$B$12,'S1_D1_Wholesaler'!N25,'S1_D2_Wholesaler'!N25,'S1_D3_Wholesaler'!N25)</f>
        <v/>
      </c>
      <c r="V28" s="2">
        <f>CHOOSE(Inputs!$B$12,'S1_D1_Distributor'!C25,'S1_D2_Distributor'!C25,'S1_D3_Distributor'!C25)</f>
        <v/>
      </c>
      <c r="W28" s="2">
        <f>CHOOSE(Inputs!$B$12,'S1_D1_Distributor'!D25,'S1_D2_Distributor'!D25,'S1_D3_Distributor'!D25)</f>
        <v/>
      </c>
      <c r="X28" s="2">
        <f>CHOOSE(Inputs!$B$12,'S1_D1_Distributor'!H25,'S1_D2_Distributor'!H25,'S1_D3_Distributor'!H25)</f>
        <v/>
      </c>
      <c r="Y28" s="2">
        <f>CHOOSE(Inputs!$B$12,'S1_D1_Distributor'!I25,'S1_D2_Distributor'!I25,'S1_D3_Distributor'!I25)</f>
        <v/>
      </c>
      <c r="Z28" s="2">
        <f>CHOOSE(Inputs!$B$12,'S1_D1_Distributor'!J25,'S1_D2_Distributor'!J25,'S1_D3_Distributor'!J25)</f>
        <v/>
      </c>
      <c r="AA28" s="2">
        <f>CHOOSE(Inputs!$B$12,'S1_D1_Distributor'!P25,'S1_D2_Distributor'!P25,'S1_D3_Distributor'!P25)</f>
        <v/>
      </c>
      <c r="AB28" s="2">
        <f>CHOOSE(Inputs!$B$12,'S1_D1_Distributor'!K25,'S1_D2_Distributor'!K25,'S1_D3_Distributor'!K25)</f>
        <v/>
      </c>
      <c r="AC28" s="2">
        <f>CHOOSE(Inputs!$B$12,'S1_D1_Distributor'!L25,'S1_D2_Distributor'!L25,'S1_D3_Distributor'!L25)</f>
        <v/>
      </c>
      <c r="AD28" s="2">
        <f>CHOOSE(Inputs!$B$12,'S1_D1_Distributor'!M25,'S1_D2_Distributor'!M25,'S1_D3_Distributor'!M25)</f>
        <v/>
      </c>
      <c r="AE28" s="2">
        <f>CHOOSE(Inputs!$B$12,'S1_D1_Distributor'!N25,'S1_D2_Distributor'!N25,'S1_D3_Distributor'!N25)</f>
        <v/>
      </c>
      <c r="AF28" s="2">
        <f>CHOOSE(Inputs!$B$12,'S1_D1_Factory'!C25,'S1_D2_Factory'!C25,'S1_D3_Factory'!C25)</f>
        <v/>
      </c>
      <c r="AG28" s="2">
        <f>CHOOSE(Inputs!$B$12,'S1_D1_Factory'!D25,'S1_D2_Factory'!D25,'S1_D3_Factory'!D25)</f>
        <v/>
      </c>
      <c r="AH28" s="2">
        <f>CHOOSE(Inputs!$B$12,'S1_D1_Factory'!H25,'S1_D2_Factory'!H25,'S1_D3_Factory'!H25)</f>
        <v/>
      </c>
      <c r="AI28" s="2">
        <f>CHOOSE(Inputs!$B$12,'S1_D1_Factory'!I25,'S1_D2_Factory'!I25,'S1_D3_Factory'!I25)</f>
        <v/>
      </c>
      <c r="AJ28" s="2">
        <f>CHOOSE(Inputs!$B$12,'S1_D1_Factory'!J25,'S1_D2_Factory'!J25,'S1_D3_Factory'!J25)</f>
        <v/>
      </c>
      <c r="AK28" s="2">
        <f>CHOOSE(Inputs!$B$12,'S1_D1_Factory'!P25,'S1_D2_Factory'!P25,'S1_D3_Factory'!P25)</f>
        <v/>
      </c>
      <c r="AL28" s="2">
        <f>CHOOSE(Inputs!$B$12,'S1_D1_Factory'!K25,'S1_D2_Factory'!K25,'S1_D3_Factory'!K25)</f>
        <v/>
      </c>
      <c r="AM28" s="2">
        <f>CHOOSE(Inputs!$B$12,'S1_D1_Factory'!L25,'S1_D2_Factory'!L25,'S1_D3_Factory'!L25)</f>
        <v/>
      </c>
      <c r="AN28" s="2">
        <f>CHOOSE(Inputs!$B$12,'S1_D1_Factory'!M25,'S1_D2_Factory'!M25,'S1_D3_Factory'!M25)</f>
        <v/>
      </c>
      <c r="AO28" s="2">
        <f>CHOOSE(Inputs!$B$12,'S1_D1_Factory'!N25,'S1_D2_Factory'!N25,'S1_D3_Factory'!N25)</f>
        <v/>
      </c>
      <c r="AP28" s="2">
        <f>SUM(H28,R28,AB28,AL28)</f>
        <v/>
      </c>
      <c r="AQ28" s="2">
        <f>SUM(I28,S28,AC28,AM28)</f>
        <v/>
      </c>
      <c r="AR28" s="2">
        <f>SUM(J28,T28,AD28,AN28)</f>
        <v/>
      </c>
      <c r="AS28" s="2">
        <f>AS27+AR28</f>
        <v/>
      </c>
    </row>
    <row r="29">
      <c r="A29" s="2" t="n">
        <v>25</v>
      </c>
      <c r="B29" s="2">
        <f>CHOOSE(Inputs!$B$12,'S1_D1_Retailer'!C26,'S1_D2_Retailer'!C26,'S1_D3_Retailer'!C26)</f>
        <v/>
      </c>
      <c r="C29" s="2">
        <f>CHOOSE(Inputs!$B$12,'S1_D1_Retailer'!D26,'S1_D2_Retailer'!D26,'S1_D3_Retailer'!D26)</f>
        <v/>
      </c>
      <c r="D29" s="2">
        <f>CHOOSE(Inputs!$B$12,'S1_D1_Retailer'!H26,'S1_D2_Retailer'!H26,'S1_D3_Retailer'!H26)</f>
        <v/>
      </c>
      <c r="E29" s="2">
        <f>CHOOSE(Inputs!$B$12,'S1_D1_Retailer'!I26,'S1_D2_Retailer'!I26,'S1_D3_Retailer'!I26)</f>
        <v/>
      </c>
      <c r="F29" s="2">
        <f>CHOOSE(Inputs!$B$12,'S1_D1_Retailer'!J26,'S1_D2_Retailer'!J26,'S1_D3_Retailer'!J26)</f>
        <v/>
      </c>
      <c r="G29" s="2">
        <f>CHOOSE(Inputs!$B$12,'S1_D1_Retailer'!P26,'S1_D2_Retailer'!P26,'S1_D3_Retailer'!P26)</f>
        <v/>
      </c>
      <c r="H29" s="2">
        <f>CHOOSE(Inputs!$B$12,'S1_D1_Retailer'!K26,'S1_D2_Retailer'!K26,'S1_D3_Retailer'!K26)</f>
        <v/>
      </c>
      <c r="I29" s="2">
        <f>CHOOSE(Inputs!$B$12,'S1_D1_Retailer'!L26,'S1_D2_Retailer'!L26,'S1_D3_Retailer'!L26)</f>
        <v/>
      </c>
      <c r="J29" s="2">
        <f>CHOOSE(Inputs!$B$12,'S1_D1_Retailer'!M26,'S1_D2_Retailer'!M26,'S1_D3_Retailer'!M26)</f>
        <v/>
      </c>
      <c r="K29" s="2">
        <f>CHOOSE(Inputs!$B$12,'S1_D1_Retailer'!N26,'S1_D2_Retailer'!N26,'S1_D3_Retailer'!N26)</f>
        <v/>
      </c>
      <c r="L29" s="2">
        <f>CHOOSE(Inputs!$B$12,'S1_D1_Wholesaler'!C26,'S1_D2_Wholesaler'!C26,'S1_D3_Wholesaler'!C26)</f>
        <v/>
      </c>
      <c r="M29" s="2">
        <f>CHOOSE(Inputs!$B$12,'S1_D1_Wholesaler'!D26,'S1_D2_Wholesaler'!D26,'S1_D3_Wholesaler'!D26)</f>
        <v/>
      </c>
      <c r="N29" s="2">
        <f>CHOOSE(Inputs!$B$12,'S1_D1_Wholesaler'!H26,'S1_D2_Wholesaler'!H26,'S1_D3_Wholesaler'!H26)</f>
        <v/>
      </c>
      <c r="O29" s="2">
        <f>CHOOSE(Inputs!$B$12,'S1_D1_Wholesaler'!I26,'S1_D2_Wholesaler'!I26,'S1_D3_Wholesaler'!I26)</f>
        <v/>
      </c>
      <c r="P29" s="2">
        <f>CHOOSE(Inputs!$B$12,'S1_D1_Wholesaler'!J26,'S1_D2_Wholesaler'!J26,'S1_D3_Wholesaler'!J26)</f>
        <v/>
      </c>
      <c r="Q29" s="2">
        <f>CHOOSE(Inputs!$B$12,'S1_D1_Wholesaler'!P26,'S1_D2_Wholesaler'!P26,'S1_D3_Wholesaler'!P26)</f>
        <v/>
      </c>
      <c r="R29" s="2">
        <f>CHOOSE(Inputs!$B$12,'S1_D1_Wholesaler'!K26,'S1_D2_Wholesaler'!K26,'S1_D3_Wholesaler'!K26)</f>
        <v/>
      </c>
      <c r="S29" s="2">
        <f>CHOOSE(Inputs!$B$12,'S1_D1_Wholesaler'!L26,'S1_D2_Wholesaler'!L26,'S1_D3_Wholesaler'!L26)</f>
        <v/>
      </c>
      <c r="T29" s="2">
        <f>CHOOSE(Inputs!$B$12,'S1_D1_Wholesaler'!M26,'S1_D2_Wholesaler'!M26,'S1_D3_Wholesaler'!M26)</f>
        <v/>
      </c>
      <c r="U29" s="2">
        <f>CHOOSE(Inputs!$B$12,'S1_D1_Wholesaler'!N26,'S1_D2_Wholesaler'!N26,'S1_D3_Wholesaler'!N26)</f>
        <v/>
      </c>
      <c r="V29" s="2">
        <f>CHOOSE(Inputs!$B$12,'S1_D1_Distributor'!C26,'S1_D2_Distributor'!C26,'S1_D3_Distributor'!C26)</f>
        <v/>
      </c>
      <c r="W29" s="2">
        <f>CHOOSE(Inputs!$B$12,'S1_D1_Distributor'!D26,'S1_D2_Distributor'!D26,'S1_D3_Distributor'!D26)</f>
        <v/>
      </c>
      <c r="X29" s="2">
        <f>CHOOSE(Inputs!$B$12,'S1_D1_Distributor'!H26,'S1_D2_Distributor'!H26,'S1_D3_Distributor'!H26)</f>
        <v/>
      </c>
      <c r="Y29" s="2">
        <f>CHOOSE(Inputs!$B$12,'S1_D1_Distributor'!I26,'S1_D2_Distributor'!I26,'S1_D3_Distributor'!I26)</f>
        <v/>
      </c>
      <c r="Z29" s="2">
        <f>CHOOSE(Inputs!$B$12,'S1_D1_Distributor'!J26,'S1_D2_Distributor'!J26,'S1_D3_Distributor'!J26)</f>
        <v/>
      </c>
      <c r="AA29" s="2">
        <f>CHOOSE(Inputs!$B$12,'S1_D1_Distributor'!P26,'S1_D2_Distributor'!P26,'S1_D3_Distributor'!P26)</f>
        <v/>
      </c>
      <c r="AB29" s="2">
        <f>CHOOSE(Inputs!$B$12,'S1_D1_Distributor'!K26,'S1_D2_Distributor'!K26,'S1_D3_Distributor'!K26)</f>
        <v/>
      </c>
      <c r="AC29" s="2">
        <f>CHOOSE(Inputs!$B$12,'S1_D1_Distributor'!L26,'S1_D2_Distributor'!L26,'S1_D3_Distributor'!L26)</f>
        <v/>
      </c>
      <c r="AD29" s="2">
        <f>CHOOSE(Inputs!$B$12,'S1_D1_Distributor'!M26,'S1_D2_Distributor'!M26,'S1_D3_Distributor'!M26)</f>
        <v/>
      </c>
      <c r="AE29" s="2">
        <f>CHOOSE(Inputs!$B$12,'S1_D1_Distributor'!N26,'S1_D2_Distributor'!N26,'S1_D3_Distributor'!N26)</f>
        <v/>
      </c>
      <c r="AF29" s="2">
        <f>CHOOSE(Inputs!$B$12,'S1_D1_Factory'!C26,'S1_D2_Factory'!C26,'S1_D3_Factory'!C26)</f>
        <v/>
      </c>
      <c r="AG29" s="2">
        <f>CHOOSE(Inputs!$B$12,'S1_D1_Factory'!D26,'S1_D2_Factory'!D26,'S1_D3_Factory'!D26)</f>
        <v/>
      </c>
      <c r="AH29" s="2">
        <f>CHOOSE(Inputs!$B$12,'S1_D1_Factory'!H26,'S1_D2_Factory'!H26,'S1_D3_Factory'!H26)</f>
        <v/>
      </c>
      <c r="AI29" s="2">
        <f>CHOOSE(Inputs!$B$12,'S1_D1_Factory'!I26,'S1_D2_Factory'!I26,'S1_D3_Factory'!I26)</f>
        <v/>
      </c>
      <c r="AJ29" s="2">
        <f>CHOOSE(Inputs!$B$12,'S1_D1_Factory'!J26,'S1_D2_Factory'!J26,'S1_D3_Factory'!J26)</f>
        <v/>
      </c>
      <c r="AK29" s="2">
        <f>CHOOSE(Inputs!$B$12,'S1_D1_Factory'!P26,'S1_D2_Factory'!P26,'S1_D3_Factory'!P26)</f>
        <v/>
      </c>
      <c r="AL29" s="2">
        <f>CHOOSE(Inputs!$B$12,'S1_D1_Factory'!K26,'S1_D2_Factory'!K26,'S1_D3_Factory'!K26)</f>
        <v/>
      </c>
      <c r="AM29" s="2">
        <f>CHOOSE(Inputs!$B$12,'S1_D1_Factory'!L26,'S1_D2_Factory'!L26,'S1_D3_Factory'!L26)</f>
        <v/>
      </c>
      <c r="AN29" s="2">
        <f>CHOOSE(Inputs!$B$12,'S1_D1_Factory'!M26,'S1_D2_Factory'!M26,'S1_D3_Factory'!M26)</f>
        <v/>
      </c>
      <c r="AO29" s="2">
        <f>CHOOSE(Inputs!$B$12,'S1_D1_Factory'!N26,'S1_D2_Factory'!N26,'S1_D3_Factory'!N26)</f>
        <v/>
      </c>
      <c r="AP29" s="2">
        <f>SUM(H29,R29,AB29,AL29)</f>
        <v/>
      </c>
      <c r="AQ29" s="2">
        <f>SUM(I29,S29,AC29,AM29)</f>
        <v/>
      </c>
      <c r="AR29" s="2">
        <f>SUM(J29,T29,AD29,AN29)</f>
        <v/>
      </c>
      <c r="AS29" s="2">
        <f>AS28+AR29</f>
        <v/>
      </c>
    </row>
    <row r="30">
      <c r="A30" s="2" t="n">
        <v>26</v>
      </c>
      <c r="B30" s="2">
        <f>CHOOSE(Inputs!$B$12,'S1_D1_Retailer'!C27,'S1_D2_Retailer'!C27,'S1_D3_Retailer'!C27)</f>
        <v/>
      </c>
      <c r="C30" s="2">
        <f>CHOOSE(Inputs!$B$12,'S1_D1_Retailer'!D27,'S1_D2_Retailer'!D27,'S1_D3_Retailer'!D27)</f>
        <v/>
      </c>
      <c r="D30" s="2">
        <f>CHOOSE(Inputs!$B$12,'S1_D1_Retailer'!H27,'S1_D2_Retailer'!H27,'S1_D3_Retailer'!H27)</f>
        <v/>
      </c>
      <c r="E30" s="2">
        <f>CHOOSE(Inputs!$B$12,'S1_D1_Retailer'!I27,'S1_D2_Retailer'!I27,'S1_D3_Retailer'!I27)</f>
        <v/>
      </c>
      <c r="F30" s="2">
        <f>CHOOSE(Inputs!$B$12,'S1_D1_Retailer'!J27,'S1_D2_Retailer'!J27,'S1_D3_Retailer'!J27)</f>
        <v/>
      </c>
      <c r="G30" s="2">
        <f>CHOOSE(Inputs!$B$12,'S1_D1_Retailer'!P27,'S1_D2_Retailer'!P27,'S1_D3_Retailer'!P27)</f>
        <v/>
      </c>
      <c r="H30" s="2">
        <f>CHOOSE(Inputs!$B$12,'S1_D1_Retailer'!K27,'S1_D2_Retailer'!K27,'S1_D3_Retailer'!K27)</f>
        <v/>
      </c>
      <c r="I30" s="2">
        <f>CHOOSE(Inputs!$B$12,'S1_D1_Retailer'!L27,'S1_D2_Retailer'!L27,'S1_D3_Retailer'!L27)</f>
        <v/>
      </c>
      <c r="J30" s="2">
        <f>CHOOSE(Inputs!$B$12,'S1_D1_Retailer'!M27,'S1_D2_Retailer'!M27,'S1_D3_Retailer'!M27)</f>
        <v/>
      </c>
      <c r="K30" s="2">
        <f>CHOOSE(Inputs!$B$12,'S1_D1_Retailer'!N27,'S1_D2_Retailer'!N27,'S1_D3_Retailer'!N27)</f>
        <v/>
      </c>
      <c r="L30" s="2">
        <f>CHOOSE(Inputs!$B$12,'S1_D1_Wholesaler'!C27,'S1_D2_Wholesaler'!C27,'S1_D3_Wholesaler'!C27)</f>
        <v/>
      </c>
      <c r="M30" s="2">
        <f>CHOOSE(Inputs!$B$12,'S1_D1_Wholesaler'!D27,'S1_D2_Wholesaler'!D27,'S1_D3_Wholesaler'!D27)</f>
        <v/>
      </c>
      <c r="N30" s="2">
        <f>CHOOSE(Inputs!$B$12,'S1_D1_Wholesaler'!H27,'S1_D2_Wholesaler'!H27,'S1_D3_Wholesaler'!H27)</f>
        <v/>
      </c>
      <c r="O30" s="2">
        <f>CHOOSE(Inputs!$B$12,'S1_D1_Wholesaler'!I27,'S1_D2_Wholesaler'!I27,'S1_D3_Wholesaler'!I27)</f>
        <v/>
      </c>
      <c r="P30" s="2">
        <f>CHOOSE(Inputs!$B$12,'S1_D1_Wholesaler'!J27,'S1_D2_Wholesaler'!J27,'S1_D3_Wholesaler'!J27)</f>
        <v/>
      </c>
      <c r="Q30" s="2">
        <f>CHOOSE(Inputs!$B$12,'S1_D1_Wholesaler'!P27,'S1_D2_Wholesaler'!P27,'S1_D3_Wholesaler'!P27)</f>
        <v/>
      </c>
      <c r="R30" s="2">
        <f>CHOOSE(Inputs!$B$12,'S1_D1_Wholesaler'!K27,'S1_D2_Wholesaler'!K27,'S1_D3_Wholesaler'!K27)</f>
        <v/>
      </c>
      <c r="S30" s="2">
        <f>CHOOSE(Inputs!$B$12,'S1_D1_Wholesaler'!L27,'S1_D2_Wholesaler'!L27,'S1_D3_Wholesaler'!L27)</f>
        <v/>
      </c>
      <c r="T30" s="2">
        <f>CHOOSE(Inputs!$B$12,'S1_D1_Wholesaler'!M27,'S1_D2_Wholesaler'!M27,'S1_D3_Wholesaler'!M27)</f>
        <v/>
      </c>
      <c r="U30" s="2">
        <f>CHOOSE(Inputs!$B$12,'S1_D1_Wholesaler'!N27,'S1_D2_Wholesaler'!N27,'S1_D3_Wholesaler'!N27)</f>
        <v/>
      </c>
      <c r="V30" s="2">
        <f>CHOOSE(Inputs!$B$12,'S1_D1_Distributor'!C27,'S1_D2_Distributor'!C27,'S1_D3_Distributor'!C27)</f>
        <v/>
      </c>
      <c r="W30" s="2">
        <f>CHOOSE(Inputs!$B$12,'S1_D1_Distributor'!D27,'S1_D2_Distributor'!D27,'S1_D3_Distributor'!D27)</f>
        <v/>
      </c>
      <c r="X30" s="2">
        <f>CHOOSE(Inputs!$B$12,'S1_D1_Distributor'!H27,'S1_D2_Distributor'!H27,'S1_D3_Distributor'!H27)</f>
        <v/>
      </c>
      <c r="Y30" s="2">
        <f>CHOOSE(Inputs!$B$12,'S1_D1_Distributor'!I27,'S1_D2_Distributor'!I27,'S1_D3_Distributor'!I27)</f>
        <v/>
      </c>
      <c r="Z30" s="2">
        <f>CHOOSE(Inputs!$B$12,'S1_D1_Distributor'!J27,'S1_D2_Distributor'!J27,'S1_D3_Distributor'!J27)</f>
        <v/>
      </c>
      <c r="AA30" s="2">
        <f>CHOOSE(Inputs!$B$12,'S1_D1_Distributor'!P27,'S1_D2_Distributor'!P27,'S1_D3_Distributor'!P27)</f>
        <v/>
      </c>
      <c r="AB30" s="2">
        <f>CHOOSE(Inputs!$B$12,'S1_D1_Distributor'!K27,'S1_D2_Distributor'!K27,'S1_D3_Distributor'!K27)</f>
        <v/>
      </c>
      <c r="AC30" s="2">
        <f>CHOOSE(Inputs!$B$12,'S1_D1_Distributor'!L27,'S1_D2_Distributor'!L27,'S1_D3_Distributor'!L27)</f>
        <v/>
      </c>
      <c r="AD30" s="2">
        <f>CHOOSE(Inputs!$B$12,'S1_D1_Distributor'!M27,'S1_D2_Distributor'!M27,'S1_D3_Distributor'!M27)</f>
        <v/>
      </c>
      <c r="AE30" s="2">
        <f>CHOOSE(Inputs!$B$12,'S1_D1_Distributor'!N27,'S1_D2_Distributor'!N27,'S1_D3_Distributor'!N27)</f>
        <v/>
      </c>
      <c r="AF30" s="2">
        <f>CHOOSE(Inputs!$B$12,'S1_D1_Factory'!C27,'S1_D2_Factory'!C27,'S1_D3_Factory'!C27)</f>
        <v/>
      </c>
      <c r="AG30" s="2">
        <f>CHOOSE(Inputs!$B$12,'S1_D1_Factory'!D27,'S1_D2_Factory'!D27,'S1_D3_Factory'!D27)</f>
        <v/>
      </c>
      <c r="AH30" s="2">
        <f>CHOOSE(Inputs!$B$12,'S1_D1_Factory'!H27,'S1_D2_Factory'!H27,'S1_D3_Factory'!H27)</f>
        <v/>
      </c>
      <c r="AI30" s="2">
        <f>CHOOSE(Inputs!$B$12,'S1_D1_Factory'!I27,'S1_D2_Factory'!I27,'S1_D3_Factory'!I27)</f>
        <v/>
      </c>
      <c r="AJ30" s="2">
        <f>CHOOSE(Inputs!$B$12,'S1_D1_Factory'!J27,'S1_D2_Factory'!J27,'S1_D3_Factory'!J27)</f>
        <v/>
      </c>
      <c r="AK30" s="2">
        <f>CHOOSE(Inputs!$B$12,'S1_D1_Factory'!P27,'S1_D2_Factory'!P27,'S1_D3_Factory'!P27)</f>
        <v/>
      </c>
      <c r="AL30" s="2">
        <f>CHOOSE(Inputs!$B$12,'S1_D1_Factory'!K27,'S1_D2_Factory'!K27,'S1_D3_Factory'!K27)</f>
        <v/>
      </c>
      <c r="AM30" s="2">
        <f>CHOOSE(Inputs!$B$12,'S1_D1_Factory'!L27,'S1_D2_Factory'!L27,'S1_D3_Factory'!L27)</f>
        <v/>
      </c>
      <c r="AN30" s="2">
        <f>CHOOSE(Inputs!$B$12,'S1_D1_Factory'!M27,'S1_D2_Factory'!M27,'S1_D3_Factory'!M27)</f>
        <v/>
      </c>
      <c r="AO30" s="2">
        <f>CHOOSE(Inputs!$B$12,'S1_D1_Factory'!N27,'S1_D2_Factory'!N27,'S1_D3_Factory'!N27)</f>
        <v/>
      </c>
      <c r="AP30" s="2">
        <f>SUM(H30,R30,AB30,AL30)</f>
        <v/>
      </c>
      <c r="AQ30" s="2">
        <f>SUM(I30,S30,AC30,AM30)</f>
        <v/>
      </c>
      <c r="AR30" s="2">
        <f>SUM(J30,T30,AD30,AN30)</f>
        <v/>
      </c>
      <c r="AS30" s="2">
        <f>AS29+AR30</f>
        <v/>
      </c>
    </row>
    <row r="31">
      <c r="A31" s="2" t="n">
        <v>27</v>
      </c>
      <c r="B31" s="2">
        <f>CHOOSE(Inputs!$B$12,'S1_D1_Retailer'!C28,'S1_D2_Retailer'!C28,'S1_D3_Retailer'!C28)</f>
        <v/>
      </c>
      <c r="C31" s="2">
        <f>CHOOSE(Inputs!$B$12,'S1_D1_Retailer'!D28,'S1_D2_Retailer'!D28,'S1_D3_Retailer'!D28)</f>
        <v/>
      </c>
      <c r="D31" s="2">
        <f>CHOOSE(Inputs!$B$12,'S1_D1_Retailer'!H28,'S1_D2_Retailer'!H28,'S1_D3_Retailer'!H28)</f>
        <v/>
      </c>
      <c r="E31" s="2">
        <f>CHOOSE(Inputs!$B$12,'S1_D1_Retailer'!I28,'S1_D2_Retailer'!I28,'S1_D3_Retailer'!I28)</f>
        <v/>
      </c>
      <c r="F31" s="2">
        <f>CHOOSE(Inputs!$B$12,'S1_D1_Retailer'!J28,'S1_D2_Retailer'!J28,'S1_D3_Retailer'!J28)</f>
        <v/>
      </c>
      <c r="G31" s="2">
        <f>CHOOSE(Inputs!$B$12,'S1_D1_Retailer'!P28,'S1_D2_Retailer'!P28,'S1_D3_Retailer'!P28)</f>
        <v/>
      </c>
      <c r="H31" s="2">
        <f>CHOOSE(Inputs!$B$12,'S1_D1_Retailer'!K28,'S1_D2_Retailer'!K28,'S1_D3_Retailer'!K28)</f>
        <v/>
      </c>
      <c r="I31" s="2">
        <f>CHOOSE(Inputs!$B$12,'S1_D1_Retailer'!L28,'S1_D2_Retailer'!L28,'S1_D3_Retailer'!L28)</f>
        <v/>
      </c>
      <c r="J31" s="2">
        <f>CHOOSE(Inputs!$B$12,'S1_D1_Retailer'!M28,'S1_D2_Retailer'!M28,'S1_D3_Retailer'!M28)</f>
        <v/>
      </c>
      <c r="K31" s="2">
        <f>CHOOSE(Inputs!$B$12,'S1_D1_Retailer'!N28,'S1_D2_Retailer'!N28,'S1_D3_Retailer'!N28)</f>
        <v/>
      </c>
      <c r="L31" s="2">
        <f>CHOOSE(Inputs!$B$12,'S1_D1_Wholesaler'!C28,'S1_D2_Wholesaler'!C28,'S1_D3_Wholesaler'!C28)</f>
        <v/>
      </c>
      <c r="M31" s="2">
        <f>CHOOSE(Inputs!$B$12,'S1_D1_Wholesaler'!D28,'S1_D2_Wholesaler'!D28,'S1_D3_Wholesaler'!D28)</f>
        <v/>
      </c>
      <c r="N31" s="2">
        <f>CHOOSE(Inputs!$B$12,'S1_D1_Wholesaler'!H28,'S1_D2_Wholesaler'!H28,'S1_D3_Wholesaler'!H28)</f>
        <v/>
      </c>
      <c r="O31" s="2">
        <f>CHOOSE(Inputs!$B$12,'S1_D1_Wholesaler'!I28,'S1_D2_Wholesaler'!I28,'S1_D3_Wholesaler'!I28)</f>
        <v/>
      </c>
      <c r="P31" s="2">
        <f>CHOOSE(Inputs!$B$12,'S1_D1_Wholesaler'!J28,'S1_D2_Wholesaler'!J28,'S1_D3_Wholesaler'!J28)</f>
        <v/>
      </c>
      <c r="Q31" s="2">
        <f>CHOOSE(Inputs!$B$12,'S1_D1_Wholesaler'!P28,'S1_D2_Wholesaler'!P28,'S1_D3_Wholesaler'!P28)</f>
        <v/>
      </c>
      <c r="R31" s="2">
        <f>CHOOSE(Inputs!$B$12,'S1_D1_Wholesaler'!K28,'S1_D2_Wholesaler'!K28,'S1_D3_Wholesaler'!K28)</f>
        <v/>
      </c>
      <c r="S31" s="2">
        <f>CHOOSE(Inputs!$B$12,'S1_D1_Wholesaler'!L28,'S1_D2_Wholesaler'!L28,'S1_D3_Wholesaler'!L28)</f>
        <v/>
      </c>
      <c r="T31" s="2">
        <f>CHOOSE(Inputs!$B$12,'S1_D1_Wholesaler'!M28,'S1_D2_Wholesaler'!M28,'S1_D3_Wholesaler'!M28)</f>
        <v/>
      </c>
      <c r="U31" s="2">
        <f>CHOOSE(Inputs!$B$12,'S1_D1_Wholesaler'!N28,'S1_D2_Wholesaler'!N28,'S1_D3_Wholesaler'!N28)</f>
        <v/>
      </c>
      <c r="V31" s="2">
        <f>CHOOSE(Inputs!$B$12,'S1_D1_Distributor'!C28,'S1_D2_Distributor'!C28,'S1_D3_Distributor'!C28)</f>
        <v/>
      </c>
      <c r="W31" s="2">
        <f>CHOOSE(Inputs!$B$12,'S1_D1_Distributor'!D28,'S1_D2_Distributor'!D28,'S1_D3_Distributor'!D28)</f>
        <v/>
      </c>
      <c r="X31" s="2">
        <f>CHOOSE(Inputs!$B$12,'S1_D1_Distributor'!H28,'S1_D2_Distributor'!H28,'S1_D3_Distributor'!H28)</f>
        <v/>
      </c>
      <c r="Y31" s="2">
        <f>CHOOSE(Inputs!$B$12,'S1_D1_Distributor'!I28,'S1_D2_Distributor'!I28,'S1_D3_Distributor'!I28)</f>
        <v/>
      </c>
      <c r="Z31" s="2">
        <f>CHOOSE(Inputs!$B$12,'S1_D1_Distributor'!J28,'S1_D2_Distributor'!J28,'S1_D3_Distributor'!J28)</f>
        <v/>
      </c>
      <c r="AA31" s="2">
        <f>CHOOSE(Inputs!$B$12,'S1_D1_Distributor'!P28,'S1_D2_Distributor'!P28,'S1_D3_Distributor'!P28)</f>
        <v/>
      </c>
      <c r="AB31" s="2">
        <f>CHOOSE(Inputs!$B$12,'S1_D1_Distributor'!K28,'S1_D2_Distributor'!K28,'S1_D3_Distributor'!K28)</f>
        <v/>
      </c>
      <c r="AC31" s="2">
        <f>CHOOSE(Inputs!$B$12,'S1_D1_Distributor'!L28,'S1_D2_Distributor'!L28,'S1_D3_Distributor'!L28)</f>
        <v/>
      </c>
      <c r="AD31" s="2">
        <f>CHOOSE(Inputs!$B$12,'S1_D1_Distributor'!M28,'S1_D2_Distributor'!M28,'S1_D3_Distributor'!M28)</f>
        <v/>
      </c>
      <c r="AE31" s="2">
        <f>CHOOSE(Inputs!$B$12,'S1_D1_Distributor'!N28,'S1_D2_Distributor'!N28,'S1_D3_Distributor'!N28)</f>
        <v/>
      </c>
      <c r="AF31" s="2">
        <f>CHOOSE(Inputs!$B$12,'S1_D1_Factory'!C28,'S1_D2_Factory'!C28,'S1_D3_Factory'!C28)</f>
        <v/>
      </c>
      <c r="AG31" s="2">
        <f>CHOOSE(Inputs!$B$12,'S1_D1_Factory'!D28,'S1_D2_Factory'!D28,'S1_D3_Factory'!D28)</f>
        <v/>
      </c>
      <c r="AH31" s="2">
        <f>CHOOSE(Inputs!$B$12,'S1_D1_Factory'!H28,'S1_D2_Factory'!H28,'S1_D3_Factory'!H28)</f>
        <v/>
      </c>
      <c r="AI31" s="2">
        <f>CHOOSE(Inputs!$B$12,'S1_D1_Factory'!I28,'S1_D2_Factory'!I28,'S1_D3_Factory'!I28)</f>
        <v/>
      </c>
      <c r="AJ31" s="2">
        <f>CHOOSE(Inputs!$B$12,'S1_D1_Factory'!J28,'S1_D2_Factory'!J28,'S1_D3_Factory'!J28)</f>
        <v/>
      </c>
      <c r="AK31" s="2">
        <f>CHOOSE(Inputs!$B$12,'S1_D1_Factory'!P28,'S1_D2_Factory'!P28,'S1_D3_Factory'!P28)</f>
        <v/>
      </c>
      <c r="AL31" s="2">
        <f>CHOOSE(Inputs!$B$12,'S1_D1_Factory'!K28,'S1_D2_Factory'!K28,'S1_D3_Factory'!K28)</f>
        <v/>
      </c>
      <c r="AM31" s="2">
        <f>CHOOSE(Inputs!$B$12,'S1_D1_Factory'!L28,'S1_D2_Factory'!L28,'S1_D3_Factory'!L28)</f>
        <v/>
      </c>
      <c r="AN31" s="2">
        <f>CHOOSE(Inputs!$B$12,'S1_D1_Factory'!M28,'S1_D2_Factory'!M28,'S1_D3_Factory'!M28)</f>
        <v/>
      </c>
      <c r="AO31" s="2">
        <f>CHOOSE(Inputs!$B$12,'S1_D1_Factory'!N28,'S1_D2_Factory'!N28,'S1_D3_Factory'!N28)</f>
        <v/>
      </c>
      <c r="AP31" s="2">
        <f>SUM(H31,R31,AB31,AL31)</f>
        <v/>
      </c>
      <c r="AQ31" s="2">
        <f>SUM(I31,S31,AC31,AM31)</f>
        <v/>
      </c>
      <c r="AR31" s="2">
        <f>SUM(J31,T31,AD31,AN31)</f>
        <v/>
      </c>
      <c r="AS31" s="2">
        <f>AS30+AR31</f>
        <v/>
      </c>
    </row>
    <row r="32">
      <c r="A32" s="2" t="n">
        <v>28</v>
      </c>
      <c r="B32" s="2">
        <f>CHOOSE(Inputs!$B$12,'S1_D1_Retailer'!C29,'S1_D2_Retailer'!C29,'S1_D3_Retailer'!C29)</f>
        <v/>
      </c>
      <c r="C32" s="2">
        <f>CHOOSE(Inputs!$B$12,'S1_D1_Retailer'!D29,'S1_D2_Retailer'!D29,'S1_D3_Retailer'!D29)</f>
        <v/>
      </c>
      <c r="D32" s="2">
        <f>CHOOSE(Inputs!$B$12,'S1_D1_Retailer'!H29,'S1_D2_Retailer'!H29,'S1_D3_Retailer'!H29)</f>
        <v/>
      </c>
      <c r="E32" s="2">
        <f>CHOOSE(Inputs!$B$12,'S1_D1_Retailer'!I29,'S1_D2_Retailer'!I29,'S1_D3_Retailer'!I29)</f>
        <v/>
      </c>
      <c r="F32" s="2">
        <f>CHOOSE(Inputs!$B$12,'S1_D1_Retailer'!J29,'S1_D2_Retailer'!J29,'S1_D3_Retailer'!J29)</f>
        <v/>
      </c>
      <c r="G32" s="2">
        <f>CHOOSE(Inputs!$B$12,'S1_D1_Retailer'!P29,'S1_D2_Retailer'!P29,'S1_D3_Retailer'!P29)</f>
        <v/>
      </c>
      <c r="H32" s="2">
        <f>CHOOSE(Inputs!$B$12,'S1_D1_Retailer'!K29,'S1_D2_Retailer'!K29,'S1_D3_Retailer'!K29)</f>
        <v/>
      </c>
      <c r="I32" s="2">
        <f>CHOOSE(Inputs!$B$12,'S1_D1_Retailer'!L29,'S1_D2_Retailer'!L29,'S1_D3_Retailer'!L29)</f>
        <v/>
      </c>
      <c r="J32" s="2">
        <f>CHOOSE(Inputs!$B$12,'S1_D1_Retailer'!M29,'S1_D2_Retailer'!M29,'S1_D3_Retailer'!M29)</f>
        <v/>
      </c>
      <c r="K32" s="2">
        <f>CHOOSE(Inputs!$B$12,'S1_D1_Retailer'!N29,'S1_D2_Retailer'!N29,'S1_D3_Retailer'!N29)</f>
        <v/>
      </c>
      <c r="L32" s="2">
        <f>CHOOSE(Inputs!$B$12,'S1_D1_Wholesaler'!C29,'S1_D2_Wholesaler'!C29,'S1_D3_Wholesaler'!C29)</f>
        <v/>
      </c>
      <c r="M32" s="2">
        <f>CHOOSE(Inputs!$B$12,'S1_D1_Wholesaler'!D29,'S1_D2_Wholesaler'!D29,'S1_D3_Wholesaler'!D29)</f>
        <v/>
      </c>
      <c r="N32" s="2">
        <f>CHOOSE(Inputs!$B$12,'S1_D1_Wholesaler'!H29,'S1_D2_Wholesaler'!H29,'S1_D3_Wholesaler'!H29)</f>
        <v/>
      </c>
      <c r="O32" s="2">
        <f>CHOOSE(Inputs!$B$12,'S1_D1_Wholesaler'!I29,'S1_D2_Wholesaler'!I29,'S1_D3_Wholesaler'!I29)</f>
        <v/>
      </c>
      <c r="P32" s="2">
        <f>CHOOSE(Inputs!$B$12,'S1_D1_Wholesaler'!J29,'S1_D2_Wholesaler'!J29,'S1_D3_Wholesaler'!J29)</f>
        <v/>
      </c>
      <c r="Q32" s="2">
        <f>CHOOSE(Inputs!$B$12,'S1_D1_Wholesaler'!P29,'S1_D2_Wholesaler'!P29,'S1_D3_Wholesaler'!P29)</f>
        <v/>
      </c>
      <c r="R32" s="2">
        <f>CHOOSE(Inputs!$B$12,'S1_D1_Wholesaler'!K29,'S1_D2_Wholesaler'!K29,'S1_D3_Wholesaler'!K29)</f>
        <v/>
      </c>
      <c r="S32" s="2">
        <f>CHOOSE(Inputs!$B$12,'S1_D1_Wholesaler'!L29,'S1_D2_Wholesaler'!L29,'S1_D3_Wholesaler'!L29)</f>
        <v/>
      </c>
      <c r="T32" s="2">
        <f>CHOOSE(Inputs!$B$12,'S1_D1_Wholesaler'!M29,'S1_D2_Wholesaler'!M29,'S1_D3_Wholesaler'!M29)</f>
        <v/>
      </c>
      <c r="U32" s="2">
        <f>CHOOSE(Inputs!$B$12,'S1_D1_Wholesaler'!N29,'S1_D2_Wholesaler'!N29,'S1_D3_Wholesaler'!N29)</f>
        <v/>
      </c>
      <c r="V32" s="2">
        <f>CHOOSE(Inputs!$B$12,'S1_D1_Distributor'!C29,'S1_D2_Distributor'!C29,'S1_D3_Distributor'!C29)</f>
        <v/>
      </c>
      <c r="W32" s="2">
        <f>CHOOSE(Inputs!$B$12,'S1_D1_Distributor'!D29,'S1_D2_Distributor'!D29,'S1_D3_Distributor'!D29)</f>
        <v/>
      </c>
      <c r="X32" s="2">
        <f>CHOOSE(Inputs!$B$12,'S1_D1_Distributor'!H29,'S1_D2_Distributor'!H29,'S1_D3_Distributor'!H29)</f>
        <v/>
      </c>
      <c r="Y32" s="2">
        <f>CHOOSE(Inputs!$B$12,'S1_D1_Distributor'!I29,'S1_D2_Distributor'!I29,'S1_D3_Distributor'!I29)</f>
        <v/>
      </c>
      <c r="Z32" s="2">
        <f>CHOOSE(Inputs!$B$12,'S1_D1_Distributor'!J29,'S1_D2_Distributor'!J29,'S1_D3_Distributor'!J29)</f>
        <v/>
      </c>
      <c r="AA32" s="2">
        <f>CHOOSE(Inputs!$B$12,'S1_D1_Distributor'!P29,'S1_D2_Distributor'!P29,'S1_D3_Distributor'!P29)</f>
        <v/>
      </c>
      <c r="AB32" s="2">
        <f>CHOOSE(Inputs!$B$12,'S1_D1_Distributor'!K29,'S1_D2_Distributor'!K29,'S1_D3_Distributor'!K29)</f>
        <v/>
      </c>
      <c r="AC32" s="2">
        <f>CHOOSE(Inputs!$B$12,'S1_D1_Distributor'!L29,'S1_D2_Distributor'!L29,'S1_D3_Distributor'!L29)</f>
        <v/>
      </c>
      <c r="AD32" s="2">
        <f>CHOOSE(Inputs!$B$12,'S1_D1_Distributor'!M29,'S1_D2_Distributor'!M29,'S1_D3_Distributor'!M29)</f>
        <v/>
      </c>
      <c r="AE32" s="2">
        <f>CHOOSE(Inputs!$B$12,'S1_D1_Distributor'!N29,'S1_D2_Distributor'!N29,'S1_D3_Distributor'!N29)</f>
        <v/>
      </c>
      <c r="AF32" s="2">
        <f>CHOOSE(Inputs!$B$12,'S1_D1_Factory'!C29,'S1_D2_Factory'!C29,'S1_D3_Factory'!C29)</f>
        <v/>
      </c>
      <c r="AG32" s="2">
        <f>CHOOSE(Inputs!$B$12,'S1_D1_Factory'!D29,'S1_D2_Factory'!D29,'S1_D3_Factory'!D29)</f>
        <v/>
      </c>
      <c r="AH32" s="2">
        <f>CHOOSE(Inputs!$B$12,'S1_D1_Factory'!H29,'S1_D2_Factory'!H29,'S1_D3_Factory'!H29)</f>
        <v/>
      </c>
      <c r="AI32" s="2">
        <f>CHOOSE(Inputs!$B$12,'S1_D1_Factory'!I29,'S1_D2_Factory'!I29,'S1_D3_Factory'!I29)</f>
        <v/>
      </c>
      <c r="AJ32" s="2">
        <f>CHOOSE(Inputs!$B$12,'S1_D1_Factory'!J29,'S1_D2_Factory'!J29,'S1_D3_Factory'!J29)</f>
        <v/>
      </c>
      <c r="AK32" s="2">
        <f>CHOOSE(Inputs!$B$12,'S1_D1_Factory'!P29,'S1_D2_Factory'!P29,'S1_D3_Factory'!P29)</f>
        <v/>
      </c>
      <c r="AL32" s="2">
        <f>CHOOSE(Inputs!$B$12,'S1_D1_Factory'!K29,'S1_D2_Factory'!K29,'S1_D3_Factory'!K29)</f>
        <v/>
      </c>
      <c r="AM32" s="2">
        <f>CHOOSE(Inputs!$B$12,'S1_D1_Factory'!L29,'S1_D2_Factory'!L29,'S1_D3_Factory'!L29)</f>
        <v/>
      </c>
      <c r="AN32" s="2">
        <f>CHOOSE(Inputs!$B$12,'S1_D1_Factory'!M29,'S1_D2_Factory'!M29,'S1_D3_Factory'!M29)</f>
        <v/>
      </c>
      <c r="AO32" s="2">
        <f>CHOOSE(Inputs!$B$12,'S1_D1_Factory'!N29,'S1_D2_Factory'!N29,'S1_D3_Factory'!N29)</f>
        <v/>
      </c>
      <c r="AP32" s="2">
        <f>SUM(H32,R32,AB32,AL32)</f>
        <v/>
      </c>
      <c r="AQ32" s="2">
        <f>SUM(I32,S32,AC32,AM32)</f>
        <v/>
      </c>
      <c r="AR32" s="2">
        <f>SUM(J32,T32,AD32,AN32)</f>
        <v/>
      </c>
      <c r="AS32" s="2">
        <f>AS31+AR32</f>
        <v/>
      </c>
    </row>
    <row r="33">
      <c r="A33" s="2" t="n">
        <v>29</v>
      </c>
      <c r="B33" s="2">
        <f>CHOOSE(Inputs!$B$12,'S1_D1_Retailer'!C30,'S1_D2_Retailer'!C30,'S1_D3_Retailer'!C30)</f>
        <v/>
      </c>
      <c r="C33" s="2">
        <f>CHOOSE(Inputs!$B$12,'S1_D1_Retailer'!D30,'S1_D2_Retailer'!D30,'S1_D3_Retailer'!D30)</f>
        <v/>
      </c>
      <c r="D33" s="2">
        <f>CHOOSE(Inputs!$B$12,'S1_D1_Retailer'!H30,'S1_D2_Retailer'!H30,'S1_D3_Retailer'!H30)</f>
        <v/>
      </c>
      <c r="E33" s="2">
        <f>CHOOSE(Inputs!$B$12,'S1_D1_Retailer'!I30,'S1_D2_Retailer'!I30,'S1_D3_Retailer'!I30)</f>
        <v/>
      </c>
      <c r="F33" s="2">
        <f>CHOOSE(Inputs!$B$12,'S1_D1_Retailer'!J30,'S1_D2_Retailer'!J30,'S1_D3_Retailer'!J30)</f>
        <v/>
      </c>
      <c r="G33" s="2">
        <f>CHOOSE(Inputs!$B$12,'S1_D1_Retailer'!P30,'S1_D2_Retailer'!P30,'S1_D3_Retailer'!P30)</f>
        <v/>
      </c>
      <c r="H33" s="2">
        <f>CHOOSE(Inputs!$B$12,'S1_D1_Retailer'!K30,'S1_D2_Retailer'!K30,'S1_D3_Retailer'!K30)</f>
        <v/>
      </c>
      <c r="I33" s="2">
        <f>CHOOSE(Inputs!$B$12,'S1_D1_Retailer'!L30,'S1_D2_Retailer'!L30,'S1_D3_Retailer'!L30)</f>
        <v/>
      </c>
      <c r="J33" s="2">
        <f>CHOOSE(Inputs!$B$12,'S1_D1_Retailer'!M30,'S1_D2_Retailer'!M30,'S1_D3_Retailer'!M30)</f>
        <v/>
      </c>
      <c r="K33" s="2">
        <f>CHOOSE(Inputs!$B$12,'S1_D1_Retailer'!N30,'S1_D2_Retailer'!N30,'S1_D3_Retailer'!N30)</f>
        <v/>
      </c>
      <c r="L33" s="2">
        <f>CHOOSE(Inputs!$B$12,'S1_D1_Wholesaler'!C30,'S1_D2_Wholesaler'!C30,'S1_D3_Wholesaler'!C30)</f>
        <v/>
      </c>
      <c r="M33" s="2">
        <f>CHOOSE(Inputs!$B$12,'S1_D1_Wholesaler'!D30,'S1_D2_Wholesaler'!D30,'S1_D3_Wholesaler'!D30)</f>
        <v/>
      </c>
      <c r="N33" s="2">
        <f>CHOOSE(Inputs!$B$12,'S1_D1_Wholesaler'!H30,'S1_D2_Wholesaler'!H30,'S1_D3_Wholesaler'!H30)</f>
        <v/>
      </c>
      <c r="O33" s="2">
        <f>CHOOSE(Inputs!$B$12,'S1_D1_Wholesaler'!I30,'S1_D2_Wholesaler'!I30,'S1_D3_Wholesaler'!I30)</f>
        <v/>
      </c>
      <c r="P33" s="2">
        <f>CHOOSE(Inputs!$B$12,'S1_D1_Wholesaler'!J30,'S1_D2_Wholesaler'!J30,'S1_D3_Wholesaler'!J30)</f>
        <v/>
      </c>
      <c r="Q33" s="2">
        <f>CHOOSE(Inputs!$B$12,'S1_D1_Wholesaler'!P30,'S1_D2_Wholesaler'!P30,'S1_D3_Wholesaler'!P30)</f>
        <v/>
      </c>
      <c r="R33" s="2">
        <f>CHOOSE(Inputs!$B$12,'S1_D1_Wholesaler'!K30,'S1_D2_Wholesaler'!K30,'S1_D3_Wholesaler'!K30)</f>
        <v/>
      </c>
      <c r="S33" s="2">
        <f>CHOOSE(Inputs!$B$12,'S1_D1_Wholesaler'!L30,'S1_D2_Wholesaler'!L30,'S1_D3_Wholesaler'!L30)</f>
        <v/>
      </c>
      <c r="T33" s="2">
        <f>CHOOSE(Inputs!$B$12,'S1_D1_Wholesaler'!M30,'S1_D2_Wholesaler'!M30,'S1_D3_Wholesaler'!M30)</f>
        <v/>
      </c>
      <c r="U33" s="2">
        <f>CHOOSE(Inputs!$B$12,'S1_D1_Wholesaler'!N30,'S1_D2_Wholesaler'!N30,'S1_D3_Wholesaler'!N30)</f>
        <v/>
      </c>
      <c r="V33" s="2">
        <f>CHOOSE(Inputs!$B$12,'S1_D1_Distributor'!C30,'S1_D2_Distributor'!C30,'S1_D3_Distributor'!C30)</f>
        <v/>
      </c>
      <c r="W33" s="2">
        <f>CHOOSE(Inputs!$B$12,'S1_D1_Distributor'!D30,'S1_D2_Distributor'!D30,'S1_D3_Distributor'!D30)</f>
        <v/>
      </c>
      <c r="X33" s="2">
        <f>CHOOSE(Inputs!$B$12,'S1_D1_Distributor'!H30,'S1_D2_Distributor'!H30,'S1_D3_Distributor'!H30)</f>
        <v/>
      </c>
      <c r="Y33" s="2">
        <f>CHOOSE(Inputs!$B$12,'S1_D1_Distributor'!I30,'S1_D2_Distributor'!I30,'S1_D3_Distributor'!I30)</f>
        <v/>
      </c>
      <c r="Z33" s="2">
        <f>CHOOSE(Inputs!$B$12,'S1_D1_Distributor'!J30,'S1_D2_Distributor'!J30,'S1_D3_Distributor'!J30)</f>
        <v/>
      </c>
      <c r="AA33" s="2">
        <f>CHOOSE(Inputs!$B$12,'S1_D1_Distributor'!P30,'S1_D2_Distributor'!P30,'S1_D3_Distributor'!P30)</f>
        <v/>
      </c>
      <c r="AB33" s="2">
        <f>CHOOSE(Inputs!$B$12,'S1_D1_Distributor'!K30,'S1_D2_Distributor'!K30,'S1_D3_Distributor'!K30)</f>
        <v/>
      </c>
      <c r="AC33" s="2">
        <f>CHOOSE(Inputs!$B$12,'S1_D1_Distributor'!L30,'S1_D2_Distributor'!L30,'S1_D3_Distributor'!L30)</f>
        <v/>
      </c>
      <c r="AD33" s="2">
        <f>CHOOSE(Inputs!$B$12,'S1_D1_Distributor'!M30,'S1_D2_Distributor'!M30,'S1_D3_Distributor'!M30)</f>
        <v/>
      </c>
      <c r="AE33" s="2">
        <f>CHOOSE(Inputs!$B$12,'S1_D1_Distributor'!N30,'S1_D2_Distributor'!N30,'S1_D3_Distributor'!N30)</f>
        <v/>
      </c>
      <c r="AF33" s="2">
        <f>CHOOSE(Inputs!$B$12,'S1_D1_Factory'!C30,'S1_D2_Factory'!C30,'S1_D3_Factory'!C30)</f>
        <v/>
      </c>
      <c r="AG33" s="2">
        <f>CHOOSE(Inputs!$B$12,'S1_D1_Factory'!D30,'S1_D2_Factory'!D30,'S1_D3_Factory'!D30)</f>
        <v/>
      </c>
      <c r="AH33" s="2">
        <f>CHOOSE(Inputs!$B$12,'S1_D1_Factory'!H30,'S1_D2_Factory'!H30,'S1_D3_Factory'!H30)</f>
        <v/>
      </c>
      <c r="AI33" s="2">
        <f>CHOOSE(Inputs!$B$12,'S1_D1_Factory'!I30,'S1_D2_Factory'!I30,'S1_D3_Factory'!I30)</f>
        <v/>
      </c>
      <c r="AJ33" s="2">
        <f>CHOOSE(Inputs!$B$12,'S1_D1_Factory'!J30,'S1_D2_Factory'!J30,'S1_D3_Factory'!J30)</f>
        <v/>
      </c>
      <c r="AK33" s="2">
        <f>CHOOSE(Inputs!$B$12,'S1_D1_Factory'!P30,'S1_D2_Factory'!P30,'S1_D3_Factory'!P30)</f>
        <v/>
      </c>
      <c r="AL33" s="2">
        <f>CHOOSE(Inputs!$B$12,'S1_D1_Factory'!K30,'S1_D2_Factory'!K30,'S1_D3_Factory'!K30)</f>
        <v/>
      </c>
      <c r="AM33" s="2">
        <f>CHOOSE(Inputs!$B$12,'S1_D1_Factory'!L30,'S1_D2_Factory'!L30,'S1_D3_Factory'!L30)</f>
        <v/>
      </c>
      <c r="AN33" s="2">
        <f>CHOOSE(Inputs!$B$12,'S1_D1_Factory'!M30,'S1_D2_Factory'!M30,'S1_D3_Factory'!M30)</f>
        <v/>
      </c>
      <c r="AO33" s="2">
        <f>CHOOSE(Inputs!$B$12,'S1_D1_Factory'!N30,'S1_D2_Factory'!N30,'S1_D3_Factory'!N30)</f>
        <v/>
      </c>
      <c r="AP33" s="2">
        <f>SUM(H33,R33,AB33,AL33)</f>
        <v/>
      </c>
      <c r="AQ33" s="2">
        <f>SUM(I33,S33,AC33,AM33)</f>
        <v/>
      </c>
      <c r="AR33" s="2">
        <f>SUM(J33,T33,AD33,AN33)</f>
        <v/>
      </c>
      <c r="AS33" s="2">
        <f>AS32+AR33</f>
        <v/>
      </c>
    </row>
    <row r="34">
      <c r="A34" s="2" t="n">
        <v>30</v>
      </c>
      <c r="B34" s="2">
        <f>CHOOSE(Inputs!$B$12,'S1_D1_Retailer'!C31,'S1_D2_Retailer'!C31,'S1_D3_Retailer'!C31)</f>
        <v/>
      </c>
      <c r="C34" s="2">
        <f>CHOOSE(Inputs!$B$12,'S1_D1_Retailer'!D31,'S1_D2_Retailer'!D31,'S1_D3_Retailer'!D31)</f>
        <v/>
      </c>
      <c r="D34" s="2">
        <f>CHOOSE(Inputs!$B$12,'S1_D1_Retailer'!H31,'S1_D2_Retailer'!H31,'S1_D3_Retailer'!H31)</f>
        <v/>
      </c>
      <c r="E34" s="2">
        <f>CHOOSE(Inputs!$B$12,'S1_D1_Retailer'!I31,'S1_D2_Retailer'!I31,'S1_D3_Retailer'!I31)</f>
        <v/>
      </c>
      <c r="F34" s="2">
        <f>CHOOSE(Inputs!$B$12,'S1_D1_Retailer'!J31,'S1_D2_Retailer'!J31,'S1_D3_Retailer'!J31)</f>
        <v/>
      </c>
      <c r="G34" s="2">
        <f>CHOOSE(Inputs!$B$12,'S1_D1_Retailer'!P31,'S1_D2_Retailer'!P31,'S1_D3_Retailer'!P31)</f>
        <v/>
      </c>
      <c r="H34" s="2">
        <f>CHOOSE(Inputs!$B$12,'S1_D1_Retailer'!K31,'S1_D2_Retailer'!K31,'S1_D3_Retailer'!K31)</f>
        <v/>
      </c>
      <c r="I34" s="2">
        <f>CHOOSE(Inputs!$B$12,'S1_D1_Retailer'!L31,'S1_D2_Retailer'!L31,'S1_D3_Retailer'!L31)</f>
        <v/>
      </c>
      <c r="J34" s="2">
        <f>CHOOSE(Inputs!$B$12,'S1_D1_Retailer'!M31,'S1_D2_Retailer'!M31,'S1_D3_Retailer'!M31)</f>
        <v/>
      </c>
      <c r="K34" s="2">
        <f>CHOOSE(Inputs!$B$12,'S1_D1_Retailer'!N31,'S1_D2_Retailer'!N31,'S1_D3_Retailer'!N31)</f>
        <v/>
      </c>
      <c r="L34" s="2">
        <f>CHOOSE(Inputs!$B$12,'S1_D1_Wholesaler'!C31,'S1_D2_Wholesaler'!C31,'S1_D3_Wholesaler'!C31)</f>
        <v/>
      </c>
      <c r="M34" s="2">
        <f>CHOOSE(Inputs!$B$12,'S1_D1_Wholesaler'!D31,'S1_D2_Wholesaler'!D31,'S1_D3_Wholesaler'!D31)</f>
        <v/>
      </c>
      <c r="N34" s="2">
        <f>CHOOSE(Inputs!$B$12,'S1_D1_Wholesaler'!H31,'S1_D2_Wholesaler'!H31,'S1_D3_Wholesaler'!H31)</f>
        <v/>
      </c>
      <c r="O34" s="2">
        <f>CHOOSE(Inputs!$B$12,'S1_D1_Wholesaler'!I31,'S1_D2_Wholesaler'!I31,'S1_D3_Wholesaler'!I31)</f>
        <v/>
      </c>
      <c r="P34" s="2">
        <f>CHOOSE(Inputs!$B$12,'S1_D1_Wholesaler'!J31,'S1_D2_Wholesaler'!J31,'S1_D3_Wholesaler'!J31)</f>
        <v/>
      </c>
      <c r="Q34" s="2">
        <f>CHOOSE(Inputs!$B$12,'S1_D1_Wholesaler'!P31,'S1_D2_Wholesaler'!P31,'S1_D3_Wholesaler'!P31)</f>
        <v/>
      </c>
      <c r="R34" s="2">
        <f>CHOOSE(Inputs!$B$12,'S1_D1_Wholesaler'!K31,'S1_D2_Wholesaler'!K31,'S1_D3_Wholesaler'!K31)</f>
        <v/>
      </c>
      <c r="S34" s="2">
        <f>CHOOSE(Inputs!$B$12,'S1_D1_Wholesaler'!L31,'S1_D2_Wholesaler'!L31,'S1_D3_Wholesaler'!L31)</f>
        <v/>
      </c>
      <c r="T34" s="2">
        <f>CHOOSE(Inputs!$B$12,'S1_D1_Wholesaler'!M31,'S1_D2_Wholesaler'!M31,'S1_D3_Wholesaler'!M31)</f>
        <v/>
      </c>
      <c r="U34" s="2">
        <f>CHOOSE(Inputs!$B$12,'S1_D1_Wholesaler'!N31,'S1_D2_Wholesaler'!N31,'S1_D3_Wholesaler'!N31)</f>
        <v/>
      </c>
      <c r="V34" s="2">
        <f>CHOOSE(Inputs!$B$12,'S1_D1_Distributor'!C31,'S1_D2_Distributor'!C31,'S1_D3_Distributor'!C31)</f>
        <v/>
      </c>
      <c r="W34" s="2">
        <f>CHOOSE(Inputs!$B$12,'S1_D1_Distributor'!D31,'S1_D2_Distributor'!D31,'S1_D3_Distributor'!D31)</f>
        <v/>
      </c>
      <c r="X34" s="2">
        <f>CHOOSE(Inputs!$B$12,'S1_D1_Distributor'!H31,'S1_D2_Distributor'!H31,'S1_D3_Distributor'!H31)</f>
        <v/>
      </c>
      <c r="Y34" s="2">
        <f>CHOOSE(Inputs!$B$12,'S1_D1_Distributor'!I31,'S1_D2_Distributor'!I31,'S1_D3_Distributor'!I31)</f>
        <v/>
      </c>
      <c r="Z34" s="2">
        <f>CHOOSE(Inputs!$B$12,'S1_D1_Distributor'!J31,'S1_D2_Distributor'!J31,'S1_D3_Distributor'!J31)</f>
        <v/>
      </c>
      <c r="AA34" s="2">
        <f>CHOOSE(Inputs!$B$12,'S1_D1_Distributor'!P31,'S1_D2_Distributor'!P31,'S1_D3_Distributor'!P31)</f>
        <v/>
      </c>
      <c r="AB34" s="2">
        <f>CHOOSE(Inputs!$B$12,'S1_D1_Distributor'!K31,'S1_D2_Distributor'!K31,'S1_D3_Distributor'!K31)</f>
        <v/>
      </c>
      <c r="AC34" s="2">
        <f>CHOOSE(Inputs!$B$12,'S1_D1_Distributor'!L31,'S1_D2_Distributor'!L31,'S1_D3_Distributor'!L31)</f>
        <v/>
      </c>
      <c r="AD34" s="2">
        <f>CHOOSE(Inputs!$B$12,'S1_D1_Distributor'!M31,'S1_D2_Distributor'!M31,'S1_D3_Distributor'!M31)</f>
        <v/>
      </c>
      <c r="AE34" s="2">
        <f>CHOOSE(Inputs!$B$12,'S1_D1_Distributor'!N31,'S1_D2_Distributor'!N31,'S1_D3_Distributor'!N31)</f>
        <v/>
      </c>
      <c r="AF34" s="2">
        <f>CHOOSE(Inputs!$B$12,'S1_D1_Factory'!C31,'S1_D2_Factory'!C31,'S1_D3_Factory'!C31)</f>
        <v/>
      </c>
      <c r="AG34" s="2">
        <f>CHOOSE(Inputs!$B$12,'S1_D1_Factory'!D31,'S1_D2_Factory'!D31,'S1_D3_Factory'!D31)</f>
        <v/>
      </c>
      <c r="AH34" s="2">
        <f>CHOOSE(Inputs!$B$12,'S1_D1_Factory'!H31,'S1_D2_Factory'!H31,'S1_D3_Factory'!H31)</f>
        <v/>
      </c>
      <c r="AI34" s="2">
        <f>CHOOSE(Inputs!$B$12,'S1_D1_Factory'!I31,'S1_D2_Factory'!I31,'S1_D3_Factory'!I31)</f>
        <v/>
      </c>
      <c r="AJ34" s="2">
        <f>CHOOSE(Inputs!$B$12,'S1_D1_Factory'!J31,'S1_D2_Factory'!J31,'S1_D3_Factory'!J31)</f>
        <v/>
      </c>
      <c r="AK34" s="2">
        <f>CHOOSE(Inputs!$B$12,'S1_D1_Factory'!P31,'S1_D2_Factory'!P31,'S1_D3_Factory'!P31)</f>
        <v/>
      </c>
      <c r="AL34" s="2">
        <f>CHOOSE(Inputs!$B$12,'S1_D1_Factory'!K31,'S1_D2_Factory'!K31,'S1_D3_Factory'!K31)</f>
        <v/>
      </c>
      <c r="AM34" s="2">
        <f>CHOOSE(Inputs!$B$12,'S1_D1_Factory'!L31,'S1_D2_Factory'!L31,'S1_D3_Factory'!L31)</f>
        <v/>
      </c>
      <c r="AN34" s="2">
        <f>CHOOSE(Inputs!$B$12,'S1_D1_Factory'!M31,'S1_D2_Factory'!M31,'S1_D3_Factory'!M31)</f>
        <v/>
      </c>
      <c r="AO34" s="2">
        <f>CHOOSE(Inputs!$B$12,'S1_D1_Factory'!N31,'S1_D2_Factory'!N31,'S1_D3_Factory'!N31)</f>
        <v/>
      </c>
      <c r="AP34" s="2">
        <f>SUM(H34,R34,AB34,AL34)</f>
        <v/>
      </c>
      <c r="AQ34" s="2">
        <f>SUM(I34,S34,AC34,AM34)</f>
        <v/>
      </c>
      <c r="AR34" s="2">
        <f>SUM(J34,T34,AD34,AN34)</f>
        <v/>
      </c>
      <c r="AS34" s="2">
        <f>AS33+AR34</f>
        <v/>
      </c>
    </row>
    <row r="35">
      <c r="A35" s="2" t="n">
        <v>31</v>
      </c>
      <c r="B35" s="2">
        <f>CHOOSE(Inputs!$B$12,'S1_D1_Retailer'!C32,'S1_D2_Retailer'!C32,'S1_D3_Retailer'!C32)</f>
        <v/>
      </c>
      <c r="C35" s="2">
        <f>CHOOSE(Inputs!$B$12,'S1_D1_Retailer'!D32,'S1_D2_Retailer'!D32,'S1_D3_Retailer'!D32)</f>
        <v/>
      </c>
      <c r="D35" s="2">
        <f>CHOOSE(Inputs!$B$12,'S1_D1_Retailer'!H32,'S1_D2_Retailer'!H32,'S1_D3_Retailer'!H32)</f>
        <v/>
      </c>
      <c r="E35" s="2">
        <f>CHOOSE(Inputs!$B$12,'S1_D1_Retailer'!I32,'S1_D2_Retailer'!I32,'S1_D3_Retailer'!I32)</f>
        <v/>
      </c>
      <c r="F35" s="2">
        <f>CHOOSE(Inputs!$B$12,'S1_D1_Retailer'!J32,'S1_D2_Retailer'!J32,'S1_D3_Retailer'!J32)</f>
        <v/>
      </c>
      <c r="G35" s="2">
        <f>CHOOSE(Inputs!$B$12,'S1_D1_Retailer'!P32,'S1_D2_Retailer'!P32,'S1_D3_Retailer'!P32)</f>
        <v/>
      </c>
      <c r="H35" s="2">
        <f>CHOOSE(Inputs!$B$12,'S1_D1_Retailer'!K32,'S1_D2_Retailer'!K32,'S1_D3_Retailer'!K32)</f>
        <v/>
      </c>
      <c r="I35" s="2">
        <f>CHOOSE(Inputs!$B$12,'S1_D1_Retailer'!L32,'S1_D2_Retailer'!L32,'S1_D3_Retailer'!L32)</f>
        <v/>
      </c>
      <c r="J35" s="2">
        <f>CHOOSE(Inputs!$B$12,'S1_D1_Retailer'!M32,'S1_D2_Retailer'!M32,'S1_D3_Retailer'!M32)</f>
        <v/>
      </c>
      <c r="K35" s="2">
        <f>CHOOSE(Inputs!$B$12,'S1_D1_Retailer'!N32,'S1_D2_Retailer'!N32,'S1_D3_Retailer'!N32)</f>
        <v/>
      </c>
      <c r="L35" s="2">
        <f>CHOOSE(Inputs!$B$12,'S1_D1_Wholesaler'!C32,'S1_D2_Wholesaler'!C32,'S1_D3_Wholesaler'!C32)</f>
        <v/>
      </c>
      <c r="M35" s="2">
        <f>CHOOSE(Inputs!$B$12,'S1_D1_Wholesaler'!D32,'S1_D2_Wholesaler'!D32,'S1_D3_Wholesaler'!D32)</f>
        <v/>
      </c>
      <c r="N35" s="2">
        <f>CHOOSE(Inputs!$B$12,'S1_D1_Wholesaler'!H32,'S1_D2_Wholesaler'!H32,'S1_D3_Wholesaler'!H32)</f>
        <v/>
      </c>
      <c r="O35" s="2">
        <f>CHOOSE(Inputs!$B$12,'S1_D1_Wholesaler'!I32,'S1_D2_Wholesaler'!I32,'S1_D3_Wholesaler'!I32)</f>
        <v/>
      </c>
      <c r="P35" s="2">
        <f>CHOOSE(Inputs!$B$12,'S1_D1_Wholesaler'!J32,'S1_D2_Wholesaler'!J32,'S1_D3_Wholesaler'!J32)</f>
        <v/>
      </c>
      <c r="Q35" s="2">
        <f>CHOOSE(Inputs!$B$12,'S1_D1_Wholesaler'!P32,'S1_D2_Wholesaler'!P32,'S1_D3_Wholesaler'!P32)</f>
        <v/>
      </c>
      <c r="R35" s="2">
        <f>CHOOSE(Inputs!$B$12,'S1_D1_Wholesaler'!K32,'S1_D2_Wholesaler'!K32,'S1_D3_Wholesaler'!K32)</f>
        <v/>
      </c>
      <c r="S35" s="2">
        <f>CHOOSE(Inputs!$B$12,'S1_D1_Wholesaler'!L32,'S1_D2_Wholesaler'!L32,'S1_D3_Wholesaler'!L32)</f>
        <v/>
      </c>
      <c r="T35" s="2">
        <f>CHOOSE(Inputs!$B$12,'S1_D1_Wholesaler'!M32,'S1_D2_Wholesaler'!M32,'S1_D3_Wholesaler'!M32)</f>
        <v/>
      </c>
      <c r="U35" s="2">
        <f>CHOOSE(Inputs!$B$12,'S1_D1_Wholesaler'!N32,'S1_D2_Wholesaler'!N32,'S1_D3_Wholesaler'!N32)</f>
        <v/>
      </c>
      <c r="V35" s="2">
        <f>CHOOSE(Inputs!$B$12,'S1_D1_Distributor'!C32,'S1_D2_Distributor'!C32,'S1_D3_Distributor'!C32)</f>
        <v/>
      </c>
      <c r="W35" s="2">
        <f>CHOOSE(Inputs!$B$12,'S1_D1_Distributor'!D32,'S1_D2_Distributor'!D32,'S1_D3_Distributor'!D32)</f>
        <v/>
      </c>
      <c r="X35" s="2">
        <f>CHOOSE(Inputs!$B$12,'S1_D1_Distributor'!H32,'S1_D2_Distributor'!H32,'S1_D3_Distributor'!H32)</f>
        <v/>
      </c>
      <c r="Y35" s="2">
        <f>CHOOSE(Inputs!$B$12,'S1_D1_Distributor'!I32,'S1_D2_Distributor'!I32,'S1_D3_Distributor'!I32)</f>
        <v/>
      </c>
      <c r="Z35" s="2">
        <f>CHOOSE(Inputs!$B$12,'S1_D1_Distributor'!J32,'S1_D2_Distributor'!J32,'S1_D3_Distributor'!J32)</f>
        <v/>
      </c>
      <c r="AA35" s="2">
        <f>CHOOSE(Inputs!$B$12,'S1_D1_Distributor'!P32,'S1_D2_Distributor'!P32,'S1_D3_Distributor'!P32)</f>
        <v/>
      </c>
      <c r="AB35" s="2">
        <f>CHOOSE(Inputs!$B$12,'S1_D1_Distributor'!K32,'S1_D2_Distributor'!K32,'S1_D3_Distributor'!K32)</f>
        <v/>
      </c>
      <c r="AC35" s="2">
        <f>CHOOSE(Inputs!$B$12,'S1_D1_Distributor'!L32,'S1_D2_Distributor'!L32,'S1_D3_Distributor'!L32)</f>
        <v/>
      </c>
      <c r="AD35" s="2">
        <f>CHOOSE(Inputs!$B$12,'S1_D1_Distributor'!M32,'S1_D2_Distributor'!M32,'S1_D3_Distributor'!M32)</f>
        <v/>
      </c>
      <c r="AE35" s="2">
        <f>CHOOSE(Inputs!$B$12,'S1_D1_Distributor'!N32,'S1_D2_Distributor'!N32,'S1_D3_Distributor'!N32)</f>
        <v/>
      </c>
      <c r="AF35" s="2">
        <f>CHOOSE(Inputs!$B$12,'S1_D1_Factory'!C32,'S1_D2_Factory'!C32,'S1_D3_Factory'!C32)</f>
        <v/>
      </c>
      <c r="AG35" s="2">
        <f>CHOOSE(Inputs!$B$12,'S1_D1_Factory'!D32,'S1_D2_Factory'!D32,'S1_D3_Factory'!D32)</f>
        <v/>
      </c>
      <c r="AH35" s="2">
        <f>CHOOSE(Inputs!$B$12,'S1_D1_Factory'!H32,'S1_D2_Factory'!H32,'S1_D3_Factory'!H32)</f>
        <v/>
      </c>
      <c r="AI35" s="2">
        <f>CHOOSE(Inputs!$B$12,'S1_D1_Factory'!I32,'S1_D2_Factory'!I32,'S1_D3_Factory'!I32)</f>
        <v/>
      </c>
      <c r="AJ35" s="2">
        <f>CHOOSE(Inputs!$B$12,'S1_D1_Factory'!J32,'S1_D2_Factory'!J32,'S1_D3_Factory'!J32)</f>
        <v/>
      </c>
      <c r="AK35" s="2">
        <f>CHOOSE(Inputs!$B$12,'S1_D1_Factory'!P32,'S1_D2_Factory'!P32,'S1_D3_Factory'!P32)</f>
        <v/>
      </c>
      <c r="AL35" s="2">
        <f>CHOOSE(Inputs!$B$12,'S1_D1_Factory'!K32,'S1_D2_Factory'!K32,'S1_D3_Factory'!K32)</f>
        <v/>
      </c>
      <c r="AM35" s="2">
        <f>CHOOSE(Inputs!$B$12,'S1_D1_Factory'!L32,'S1_D2_Factory'!L32,'S1_D3_Factory'!L32)</f>
        <v/>
      </c>
      <c r="AN35" s="2">
        <f>CHOOSE(Inputs!$B$12,'S1_D1_Factory'!M32,'S1_D2_Factory'!M32,'S1_D3_Factory'!M32)</f>
        <v/>
      </c>
      <c r="AO35" s="2">
        <f>CHOOSE(Inputs!$B$12,'S1_D1_Factory'!N32,'S1_D2_Factory'!N32,'S1_D3_Factory'!N32)</f>
        <v/>
      </c>
      <c r="AP35" s="2">
        <f>SUM(H35,R35,AB35,AL35)</f>
        <v/>
      </c>
      <c r="AQ35" s="2">
        <f>SUM(I35,S35,AC35,AM35)</f>
        <v/>
      </c>
      <c r="AR35" s="2">
        <f>SUM(J35,T35,AD35,AN35)</f>
        <v/>
      </c>
      <c r="AS35" s="2">
        <f>AS34+AR35</f>
        <v/>
      </c>
    </row>
    <row r="36">
      <c r="A36" s="2" t="n">
        <v>32</v>
      </c>
      <c r="B36" s="2">
        <f>CHOOSE(Inputs!$B$12,'S1_D1_Retailer'!C33,'S1_D2_Retailer'!C33,'S1_D3_Retailer'!C33)</f>
        <v/>
      </c>
      <c r="C36" s="2">
        <f>CHOOSE(Inputs!$B$12,'S1_D1_Retailer'!D33,'S1_D2_Retailer'!D33,'S1_D3_Retailer'!D33)</f>
        <v/>
      </c>
      <c r="D36" s="2">
        <f>CHOOSE(Inputs!$B$12,'S1_D1_Retailer'!H33,'S1_D2_Retailer'!H33,'S1_D3_Retailer'!H33)</f>
        <v/>
      </c>
      <c r="E36" s="2">
        <f>CHOOSE(Inputs!$B$12,'S1_D1_Retailer'!I33,'S1_D2_Retailer'!I33,'S1_D3_Retailer'!I33)</f>
        <v/>
      </c>
      <c r="F36" s="2">
        <f>CHOOSE(Inputs!$B$12,'S1_D1_Retailer'!J33,'S1_D2_Retailer'!J33,'S1_D3_Retailer'!J33)</f>
        <v/>
      </c>
      <c r="G36" s="2">
        <f>CHOOSE(Inputs!$B$12,'S1_D1_Retailer'!P33,'S1_D2_Retailer'!P33,'S1_D3_Retailer'!P33)</f>
        <v/>
      </c>
      <c r="H36" s="2">
        <f>CHOOSE(Inputs!$B$12,'S1_D1_Retailer'!K33,'S1_D2_Retailer'!K33,'S1_D3_Retailer'!K33)</f>
        <v/>
      </c>
      <c r="I36" s="2">
        <f>CHOOSE(Inputs!$B$12,'S1_D1_Retailer'!L33,'S1_D2_Retailer'!L33,'S1_D3_Retailer'!L33)</f>
        <v/>
      </c>
      <c r="J36" s="2">
        <f>CHOOSE(Inputs!$B$12,'S1_D1_Retailer'!M33,'S1_D2_Retailer'!M33,'S1_D3_Retailer'!M33)</f>
        <v/>
      </c>
      <c r="K36" s="2">
        <f>CHOOSE(Inputs!$B$12,'S1_D1_Retailer'!N33,'S1_D2_Retailer'!N33,'S1_D3_Retailer'!N33)</f>
        <v/>
      </c>
      <c r="L36" s="2">
        <f>CHOOSE(Inputs!$B$12,'S1_D1_Wholesaler'!C33,'S1_D2_Wholesaler'!C33,'S1_D3_Wholesaler'!C33)</f>
        <v/>
      </c>
      <c r="M36" s="2">
        <f>CHOOSE(Inputs!$B$12,'S1_D1_Wholesaler'!D33,'S1_D2_Wholesaler'!D33,'S1_D3_Wholesaler'!D33)</f>
        <v/>
      </c>
      <c r="N36" s="2">
        <f>CHOOSE(Inputs!$B$12,'S1_D1_Wholesaler'!H33,'S1_D2_Wholesaler'!H33,'S1_D3_Wholesaler'!H33)</f>
        <v/>
      </c>
      <c r="O36" s="2">
        <f>CHOOSE(Inputs!$B$12,'S1_D1_Wholesaler'!I33,'S1_D2_Wholesaler'!I33,'S1_D3_Wholesaler'!I33)</f>
        <v/>
      </c>
      <c r="P36" s="2">
        <f>CHOOSE(Inputs!$B$12,'S1_D1_Wholesaler'!J33,'S1_D2_Wholesaler'!J33,'S1_D3_Wholesaler'!J33)</f>
        <v/>
      </c>
      <c r="Q36" s="2">
        <f>CHOOSE(Inputs!$B$12,'S1_D1_Wholesaler'!P33,'S1_D2_Wholesaler'!P33,'S1_D3_Wholesaler'!P33)</f>
        <v/>
      </c>
      <c r="R36" s="2">
        <f>CHOOSE(Inputs!$B$12,'S1_D1_Wholesaler'!K33,'S1_D2_Wholesaler'!K33,'S1_D3_Wholesaler'!K33)</f>
        <v/>
      </c>
      <c r="S36" s="2">
        <f>CHOOSE(Inputs!$B$12,'S1_D1_Wholesaler'!L33,'S1_D2_Wholesaler'!L33,'S1_D3_Wholesaler'!L33)</f>
        <v/>
      </c>
      <c r="T36" s="2">
        <f>CHOOSE(Inputs!$B$12,'S1_D1_Wholesaler'!M33,'S1_D2_Wholesaler'!M33,'S1_D3_Wholesaler'!M33)</f>
        <v/>
      </c>
      <c r="U36" s="2">
        <f>CHOOSE(Inputs!$B$12,'S1_D1_Wholesaler'!N33,'S1_D2_Wholesaler'!N33,'S1_D3_Wholesaler'!N33)</f>
        <v/>
      </c>
      <c r="V36" s="2">
        <f>CHOOSE(Inputs!$B$12,'S1_D1_Distributor'!C33,'S1_D2_Distributor'!C33,'S1_D3_Distributor'!C33)</f>
        <v/>
      </c>
      <c r="W36" s="2">
        <f>CHOOSE(Inputs!$B$12,'S1_D1_Distributor'!D33,'S1_D2_Distributor'!D33,'S1_D3_Distributor'!D33)</f>
        <v/>
      </c>
      <c r="X36" s="2">
        <f>CHOOSE(Inputs!$B$12,'S1_D1_Distributor'!H33,'S1_D2_Distributor'!H33,'S1_D3_Distributor'!H33)</f>
        <v/>
      </c>
      <c r="Y36" s="2">
        <f>CHOOSE(Inputs!$B$12,'S1_D1_Distributor'!I33,'S1_D2_Distributor'!I33,'S1_D3_Distributor'!I33)</f>
        <v/>
      </c>
      <c r="Z36" s="2">
        <f>CHOOSE(Inputs!$B$12,'S1_D1_Distributor'!J33,'S1_D2_Distributor'!J33,'S1_D3_Distributor'!J33)</f>
        <v/>
      </c>
      <c r="AA36" s="2">
        <f>CHOOSE(Inputs!$B$12,'S1_D1_Distributor'!P33,'S1_D2_Distributor'!P33,'S1_D3_Distributor'!P33)</f>
        <v/>
      </c>
      <c r="AB36" s="2">
        <f>CHOOSE(Inputs!$B$12,'S1_D1_Distributor'!K33,'S1_D2_Distributor'!K33,'S1_D3_Distributor'!K33)</f>
        <v/>
      </c>
      <c r="AC36" s="2">
        <f>CHOOSE(Inputs!$B$12,'S1_D1_Distributor'!L33,'S1_D2_Distributor'!L33,'S1_D3_Distributor'!L33)</f>
        <v/>
      </c>
      <c r="AD36" s="2">
        <f>CHOOSE(Inputs!$B$12,'S1_D1_Distributor'!M33,'S1_D2_Distributor'!M33,'S1_D3_Distributor'!M33)</f>
        <v/>
      </c>
      <c r="AE36" s="2">
        <f>CHOOSE(Inputs!$B$12,'S1_D1_Distributor'!N33,'S1_D2_Distributor'!N33,'S1_D3_Distributor'!N33)</f>
        <v/>
      </c>
      <c r="AF36" s="2">
        <f>CHOOSE(Inputs!$B$12,'S1_D1_Factory'!C33,'S1_D2_Factory'!C33,'S1_D3_Factory'!C33)</f>
        <v/>
      </c>
      <c r="AG36" s="2">
        <f>CHOOSE(Inputs!$B$12,'S1_D1_Factory'!D33,'S1_D2_Factory'!D33,'S1_D3_Factory'!D33)</f>
        <v/>
      </c>
      <c r="AH36" s="2">
        <f>CHOOSE(Inputs!$B$12,'S1_D1_Factory'!H33,'S1_D2_Factory'!H33,'S1_D3_Factory'!H33)</f>
        <v/>
      </c>
      <c r="AI36" s="2">
        <f>CHOOSE(Inputs!$B$12,'S1_D1_Factory'!I33,'S1_D2_Factory'!I33,'S1_D3_Factory'!I33)</f>
        <v/>
      </c>
      <c r="AJ36" s="2">
        <f>CHOOSE(Inputs!$B$12,'S1_D1_Factory'!J33,'S1_D2_Factory'!J33,'S1_D3_Factory'!J33)</f>
        <v/>
      </c>
      <c r="AK36" s="2">
        <f>CHOOSE(Inputs!$B$12,'S1_D1_Factory'!P33,'S1_D2_Factory'!P33,'S1_D3_Factory'!P33)</f>
        <v/>
      </c>
      <c r="AL36" s="2">
        <f>CHOOSE(Inputs!$B$12,'S1_D1_Factory'!K33,'S1_D2_Factory'!K33,'S1_D3_Factory'!K33)</f>
        <v/>
      </c>
      <c r="AM36" s="2">
        <f>CHOOSE(Inputs!$B$12,'S1_D1_Factory'!L33,'S1_D2_Factory'!L33,'S1_D3_Factory'!L33)</f>
        <v/>
      </c>
      <c r="AN36" s="2">
        <f>CHOOSE(Inputs!$B$12,'S1_D1_Factory'!M33,'S1_D2_Factory'!M33,'S1_D3_Factory'!M33)</f>
        <v/>
      </c>
      <c r="AO36" s="2">
        <f>CHOOSE(Inputs!$B$12,'S1_D1_Factory'!N33,'S1_D2_Factory'!N33,'S1_D3_Factory'!N33)</f>
        <v/>
      </c>
      <c r="AP36" s="2">
        <f>SUM(H36,R36,AB36,AL36)</f>
        <v/>
      </c>
      <c r="AQ36" s="2">
        <f>SUM(I36,S36,AC36,AM36)</f>
        <v/>
      </c>
      <c r="AR36" s="2">
        <f>SUM(J36,T36,AD36,AN36)</f>
        <v/>
      </c>
      <c r="AS36" s="2">
        <f>AS35+AR36</f>
        <v/>
      </c>
    </row>
    <row r="37">
      <c r="A37" s="2" t="n">
        <v>33</v>
      </c>
      <c r="B37" s="2">
        <f>CHOOSE(Inputs!$B$12,'S1_D1_Retailer'!C34,'S1_D2_Retailer'!C34,'S1_D3_Retailer'!C34)</f>
        <v/>
      </c>
      <c r="C37" s="2">
        <f>CHOOSE(Inputs!$B$12,'S1_D1_Retailer'!D34,'S1_D2_Retailer'!D34,'S1_D3_Retailer'!D34)</f>
        <v/>
      </c>
      <c r="D37" s="2">
        <f>CHOOSE(Inputs!$B$12,'S1_D1_Retailer'!H34,'S1_D2_Retailer'!H34,'S1_D3_Retailer'!H34)</f>
        <v/>
      </c>
      <c r="E37" s="2">
        <f>CHOOSE(Inputs!$B$12,'S1_D1_Retailer'!I34,'S1_D2_Retailer'!I34,'S1_D3_Retailer'!I34)</f>
        <v/>
      </c>
      <c r="F37" s="2">
        <f>CHOOSE(Inputs!$B$12,'S1_D1_Retailer'!J34,'S1_D2_Retailer'!J34,'S1_D3_Retailer'!J34)</f>
        <v/>
      </c>
      <c r="G37" s="2">
        <f>CHOOSE(Inputs!$B$12,'S1_D1_Retailer'!P34,'S1_D2_Retailer'!P34,'S1_D3_Retailer'!P34)</f>
        <v/>
      </c>
      <c r="H37" s="2">
        <f>CHOOSE(Inputs!$B$12,'S1_D1_Retailer'!K34,'S1_D2_Retailer'!K34,'S1_D3_Retailer'!K34)</f>
        <v/>
      </c>
      <c r="I37" s="2">
        <f>CHOOSE(Inputs!$B$12,'S1_D1_Retailer'!L34,'S1_D2_Retailer'!L34,'S1_D3_Retailer'!L34)</f>
        <v/>
      </c>
      <c r="J37" s="2">
        <f>CHOOSE(Inputs!$B$12,'S1_D1_Retailer'!M34,'S1_D2_Retailer'!M34,'S1_D3_Retailer'!M34)</f>
        <v/>
      </c>
      <c r="K37" s="2">
        <f>CHOOSE(Inputs!$B$12,'S1_D1_Retailer'!N34,'S1_D2_Retailer'!N34,'S1_D3_Retailer'!N34)</f>
        <v/>
      </c>
      <c r="L37" s="2">
        <f>CHOOSE(Inputs!$B$12,'S1_D1_Wholesaler'!C34,'S1_D2_Wholesaler'!C34,'S1_D3_Wholesaler'!C34)</f>
        <v/>
      </c>
      <c r="M37" s="2">
        <f>CHOOSE(Inputs!$B$12,'S1_D1_Wholesaler'!D34,'S1_D2_Wholesaler'!D34,'S1_D3_Wholesaler'!D34)</f>
        <v/>
      </c>
      <c r="N37" s="2">
        <f>CHOOSE(Inputs!$B$12,'S1_D1_Wholesaler'!H34,'S1_D2_Wholesaler'!H34,'S1_D3_Wholesaler'!H34)</f>
        <v/>
      </c>
      <c r="O37" s="2">
        <f>CHOOSE(Inputs!$B$12,'S1_D1_Wholesaler'!I34,'S1_D2_Wholesaler'!I34,'S1_D3_Wholesaler'!I34)</f>
        <v/>
      </c>
      <c r="P37" s="2">
        <f>CHOOSE(Inputs!$B$12,'S1_D1_Wholesaler'!J34,'S1_D2_Wholesaler'!J34,'S1_D3_Wholesaler'!J34)</f>
        <v/>
      </c>
      <c r="Q37" s="2">
        <f>CHOOSE(Inputs!$B$12,'S1_D1_Wholesaler'!P34,'S1_D2_Wholesaler'!P34,'S1_D3_Wholesaler'!P34)</f>
        <v/>
      </c>
      <c r="R37" s="2">
        <f>CHOOSE(Inputs!$B$12,'S1_D1_Wholesaler'!K34,'S1_D2_Wholesaler'!K34,'S1_D3_Wholesaler'!K34)</f>
        <v/>
      </c>
      <c r="S37" s="2">
        <f>CHOOSE(Inputs!$B$12,'S1_D1_Wholesaler'!L34,'S1_D2_Wholesaler'!L34,'S1_D3_Wholesaler'!L34)</f>
        <v/>
      </c>
      <c r="T37" s="2">
        <f>CHOOSE(Inputs!$B$12,'S1_D1_Wholesaler'!M34,'S1_D2_Wholesaler'!M34,'S1_D3_Wholesaler'!M34)</f>
        <v/>
      </c>
      <c r="U37" s="2">
        <f>CHOOSE(Inputs!$B$12,'S1_D1_Wholesaler'!N34,'S1_D2_Wholesaler'!N34,'S1_D3_Wholesaler'!N34)</f>
        <v/>
      </c>
      <c r="V37" s="2">
        <f>CHOOSE(Inputs!$B$12,'S1_D1_Distributor'!C34,'S1_D2_Distributor'!C34,'S1_D3_Distributor'!C34)</f>
        <v/>
      </c>
      <c r="W37" s="2">
        <f>CHOOSE(Inputs!$B$12,'S1_D1_Distributor'!D34,'S1_D2_Distributor'!D34,'S1_D3_Distributor'!D34)</f>
        <v/>
      </c>
      <c r="X37" s="2">
        <f>CHOOSE(Inputs!$B$12,'S1_D1_Distributor'!H34,'S1_D2_Distributor'!H34,'S1_D3_Distributor'!H34)</f>
        <v/>
      </c>
      <c r="Y37" s="2">
        <f>CHOOSE(Inputs!$B$12,'S1_D1_Distributor'!I34,'S1_D2_Distributor'!I34,'S1_D3_Distributor'!I34)</f>
        <v/>
      </c>
      <c r="Z37" s="2">
        <f>CHOOSE(Inputs!$B$12,'S1_D1_Distributor'!J34,'S1_D2_Distributor'!J34,'S1_D3_Distributor'!J34)</f>
        <v/>
      </c>
      <c r="AA37" s="2">
        <f>CHOOSE(Inputs!$B$12,'S1_D1_Distributor'!P34,'S1_D2_Distributor'!P34,'S1_D3_Distributor'!P34)</f>
        <v/>
      </c>
      <c r="AB37" s="2">
        <f>CHOOSE(Inputs!$B$12,'S1_D1_Distributor'!K34,'S1_D2_Distributor'!K34,'S1_D3_Distributor'!K34)</f>
        <v/>
      </c>
      <c r="AC37" s="2">
        <f>CHOOSE(Inputs!$B$12,'S1_D1_Distributor'!L34,'S1_D2_Distributor'!L34,'S1_D3_Distributor'!L34)</f>
        <v/>
      </c>
      <c r="AD37" s="2">
        <f>CHOOSE(Inputs!$B$12,'S1_D1_Distributor'!M34,'S1_D2_Distributor'!M34,'S1_D3_Distributor'!M34)</f>
        <v/>
      </c>
      <c r="AE37" s="2">
        <f>CHOOSE(Inputs!$B$12,'S1_D1_Distributor'!N34,'S1_D2_Distributor'!N34,'S1_D3_Distributor'!N34)</f>
        <v/>
      </c>
      <c r="AF37" s="2">
        <f>CHOOSE(Inputs!$B$12,'S1_D1_Factory'!C34,'S1_D2_Factory'!C34,'S1_D3_Factory'!C34)</f>
        <v/>
      </c>
      <c r="AG37" s="2">
        <f>CHOOSE(Inputs!$B$12,'S1_D1_Factory'!D34,'S1_D2_Factory'!D34,'S1_D3_Factory'!D34)</f>
        <v/>
      </c>
      <c r="AH37" s="2">
        <f>CHOOSE(Inputs!$B$12,'S1_D1_Factory'!H34,'S1_D2_Factory'!H34,'S1_D3_Factory'!H34)</f>
        <v/>
      </c>
      <c r="AI37" s="2">
        <f>CHOOSE(Inputs!$B$12,'S1_D1_Factory'!I34,'S1_D2_Factory'!I34,'S1_D3_Factory'!I34)</f>
        <v/>
      </c>
      <c r="AJ37" s="2">
        <f>CHOOSE(Inputs!$B$12,'S1_D1_Factory'!J34,'S1_D2_Factory'!J34,'S1_D3_Factory'!J34)</f>
        <v/>
      </c>
      <c r="AK37" s="2">
        <f>CHOOSE(Inputs!$B$12,'S1_D1_Factory'!P34,'S1_D2_Factory'!P34,'S1_D3_Factory'!P34)</f>
        <v/>
      </c>
      <c r="AL37" s="2">
        <f>CHOOSE(Inputs!$B$12,'S1_D1_Factory'!K34,'S1_D2_Factory'!K34,'S1_D3_Factory'!K34)</f>
        <v/>
      </c>
      <c r="AM37" s="2">
        <f>CHOOSE(Inputs!$B$12,'S1_D1_Factory'!L34,'S1_D2_Factory'!L34,'S1_D3_Factory'!L34)</f>
        <v/>
      </c>
      <c r="AN37" s="2">
        <f>CHOOSE(Inputs!$B$12,'S1_D1_Factory'!M34,'S1_D2_Factory'!M34,'S1_D3_Factory'!M34)</f>
        <v/>
      </c>
      <c r="AO37" s="2">
        <f>CHOOSE(Inputs!$B$12,'S1_D1_Factory'!N34,'S1_D2_Factory'!N34,'S1_D3_Factory'!N34)</f>
        <v/>
      </c>
      <c r="AP37" s="2">
        <f>SUM(H37,R37,AB37,AL37)</f>
        <v/>
      </c>
      <c r="AQ37" s="2">
        <f>SUM(I37,S37,AC37,AM37)</f>
        <v/>
      </c>
      <c r="AR37" s="2">
        <f>SUM(J37,T37,AD37,AN37)</f>
        <v/>
      </c>
      <c r="AS37" s="2">
        <f>AS36+AR37</f>
        <v/>
      </c>
    </row>
    <row r="38">
      <c r="A38" s="2" t="n">
        <v>34</v>
      </c>
      <c r="B38" s="2">
        <f>CHOOSE(Inputs!$B$12,'S1_D1_Retailer'!C35,'S1_D2_Retailer'!C35,'S1_D3_Retailer'!C35)</f>
        <v/>
      </c>
      <c r="C38" s="2">
        <f>CHOOSE(Inputs!$B$12,'S1_D1_Retailer'!D35,'S1_D2_Retailer'!D35,'S1_D3_Retailer'!D35)</f>
        <v/>
      </c>
      <c r="D38" s="2">
        <f>CHOOSE(Inputs!$B$12,'S1_D1_Retailer'!H35,'S1_D2_Retailer'!H35,'S1_D3_Retailer'!H35)</f>
        <v/>
      </c>
      <c r="E38" s="2">
        <f>CHOOSE(Inputs!$B$12,'S1_D1_Retailer'!I35,'S1_D2_Retailer'!I35,'S1_D3_Retailer'!I35)</f>
        <v/>
      </c>
      <c r="F38" s="2">
        <f>CHOOSE(Inputs!$B$12,'S1_D1_Retailer'!J35,'S1_D2_Retailer'!J35,'S1_D3_Retailer'!J35)</f>
        <v/>
      </c>
      <c r="G38" s="2">
        <f>CHOOSE(Inputs!$B$12,'S1_D1_Retailer'!P35,'S1_D2_Retailer'!P35,'S1_D3_Retailer'!P35)</f>
        <v/>
      </c>
      <c r="H38" s="2">
        <f>CHOOSE(Inputs!$B$12,'S1_D1_Retailer'!K35,'S1_D2_Retailer'!K35,'S1_D3_Retailer'!K35)</f>
        <v/>
      </c>
      <c r="I38" s="2">
        <f>CHOOSE(Inputs!$B$12,'S1_D1_Retailer'!L35,'S1_D2_Retailer'!L35,'S1_D3_Retailer'!L35)</f>
        <v/>
      </c>
      <c r="J38" s="2">
        <f>CHOOSE(Inputs!$B$12,'S1_D1_Retailer'!M35,'S1_D2_Retailer'!M35,'S1_D3_Retailer'!M35)</f>
        <v/>
      </c>
      <c r="K38" s="2">
        <f>CHOOSE(Inputs!$B$12,'S1_D1_Retailer'!N35,'S1_D2_Retailer'!N35,'S1_D3_Retailer'!N35)</f>
        <v/>
      </c>
      <c r="L38" s="2">
        <f>CHOOSE(Inputs!$B$12,'S1_D1_Wholesaler'!C35,'S1_D2_Wholesaler'!C35,'S1_D3_Wholesaler'!C35)</f>
        <v/>
      </c>
      <c r="M38" s="2">
        <f>CHOOSE(Inputs!$B$12,'S1_D1_Wholesaler'!D35,'S1_D2_Wholesaler'!D35,'S1_D3_Wholesaler'!D35)</f>
        <v/>
      </c>
      <c r="N38" s="2">
        <f>CHOOSE(Inputs!$B$12,'S1_D1_Wholesaler'!H35,'S1_D2_Wholesaler'!H35,'S1_D3_Wholesaler'!H35)</f>
        <v/>
      </c>
      <c r="O38" s="2">
        <f>CHOOSE(Inputs!$B$12,'S1_D1_Wholesaler'!I35,'S1_D2_Wholesaler'!I35,'S1_D3_Wholesaler'!I35)</f>
        <v/>
      </c>
      <c r="P38" s="2">
        <f>CHOOSE(Inputs!$B$12,'S1_D1_Wholesaler'!J35,'S1_D2_Wholesaler'!J35,'S1_D3_Wholesaler'!J35)</f>
        <v/>
      </c>
      <c r="Q38" s="2">
        <f>CHOOSE(Inputs!$B$12,'S1_D1_Wholesaler'!P35,'S1_D2_Wholesaler'!P35,'S1_D3_Wholesaler'!P35)</f>
        <v/>
      </c>
      <c r="R38" s="2">
        <f>CHOOSE(Inputs!$B$12,'S1_D1_Wholesaler'!K35,'S1_D2_Wholesaler'!K35,'S1_D3_Wholesaler'!K35)</f>
        <v/>
      </c>
      <c r="S38" s="2">
        <f>CHOOSE(Inputs!$B$12,'S1_D1_Wholesaler'!L35,'S1_D2_Wholesaler'!L35,'S1_D3_Wholesaler'!L35)</f>
        <v/>
      </c>
      <c r="T38" s="2">
        <f>CHOOSE(Inputs!$B$12,'S1_D1_Wholesaler'!M35,'S1_D2_Wholesaler'!M35,'S1_D3_Wholesaler'!M35)</f>
        <v/>
      </c>
      <c r="U38" s="2">
        <f>CHOOSE(Inputs!$B$12,'S1_D1_Wholesaler'!N35,'S1_D2_Wholesaler'!N35,'S1_D3_Wholesaler'!N35)</f>
        <v/>
      </c>
      <c r="V38" s="2">
        <f>CHOOSE(Inputs!$B$12,'S1_D1_Distributor'!C35,'S1_D2_Distributor'!C35,'S1_D3_Distributor'!C35)</f>
        <v/>
      </c>
      <c r="W38" s="2">
        <f>CHOOSE(Inputs!$B$12,'S1_D1_Distributor'!D35,'S1_D2_Distributor'!D35,'S1_D3_Distributor'!D35)</f>
        <v/>
      </c>
      <c r="X38" s="2">
        <f>CHOOSE(Inputs!$B$12,'S1_D1_Distributor'!H35,'S1_D2_Distributor'!H35,'S1_D3_Distributor'!H35)</f>
        <v/>
      </c>
      <c r="Y38" s="2">
        <f>CHOOSE(Inputs!$B$12,'S1_D1_Distributor'!I35,'S1_D2_Distributor'!I35,'S1_D3_Distributor'!I35)</f>
        <v/>
      </c>
      <c r="Z38" s="2">
        <f>CHOOSE(Inputs!$B$12,'S1_D1_Distributor'!J35,'S1_D2_Distributor'!J35,'S1_D3_Distributor'!J35)</f>
        <v/>
      </c>
      <c r="AA38" s="2">
        <f>CHOOSE(Inputs!$B$12,'S1_D1_Distributor'!P35,'S1_D2_Distributor'!P35,'S1_D3_Distributor'!P35)</f>
        <v/>
      </c>
      <c r="AB38" s="2">
        <f>CHOOSE(Inputs!$B$12,'S1_D1_Distributor'!K35,'S1_D2_Distributor'!K35,'S1_D3_Distributor'!K35)</f>
        <v/>
      </c>
      <c r="AC38" s="2">
        <f>CHOOSE(Inputs!$B$12,'S1_D1_Distributor'!L35,'S1_D2_Distributor'!L35,'S1_D3_Distributor'!L35)</f>
        <v/>
      </c>
      <c r="AD38" s="2">
        <f>CHOOSE(Inputs!$B$12,'S1_D1_Distributor'!M35,'S1_D2_Distributor'!M35,'S1_D3_Distributor'!M35)</f>
        <v/>
      </c>
      <c r="AE38" s="2">
        <f>CHOOSE(Inputs!$B$12,'S1_D1_Distributor'!N35,'S1_D2_Distributor'!N35,'S1_D3_Distributor'!N35)</f>
        <v/>
      </c>
      <c r="AF38" s="2">
        <f>CHOOSE(Inputs!$B$12,'S1_D1_Factory'!C35,'S1_D2_Factory'!C35,'S1_D3_Factory'!C35)</f>
        <v/>
      </c>
      <c r="AG38" s="2">
        <f>CHOOSE(Inputs!$B$12,'S1_D1_Factory'!D35,'S1_D2_Factory'!D35,'S1_D3_Factory'!D35)</f>
        <v/>
      </c>
      <c r="AH38" s="2">
        <f>CHOOSE(Inputs!$B$12,'S1_D1_Factory'!H35,'S1_D2_Factory'!H35,'S1_D3_Factory'!H35)</f>
        <v/>
      </c>
      <c r="AI38" s="2">
        <f>CHOOSE(Inputs!$B$12,'S1_D1_Factory'!I35,'S1_D2_Factory'!I35,'S1_D3_Factory'!I35)</f>
        <v/>
      </c>
      <c r="AJ38" s="2">
        <f>CHOOSE(Inputs!$B$12,'S1_D1_Factory'!J35,'S1_D2_Factory'!J35,'S1_D3_Factory'!J35)</f>
        <v/>
      </c>
      <c r="AK38" s="2">
        <f>CHOOSE(Inputs!$B$12,'S1_D1_Factory'!P35,'S1_D2_Factory'!P35,'S1_D3_Factory'!P35)</f>
        <v/>
      </c>
      <c r="AL38" s="2">
        <f>CHOOSE(Inputs!$B$12,'S1_D1_Factory'!K35,'S1_D2_Factory'!K35,'S1_D3_Factory'!K35)</f>
        <v/>
      </c>
      <c r="AM38" s="2">
        <f>CHOOSE(Inputs!$B$12,'S1_D1_Factory'!L35,'S1_D2_Factory'!L35,'S1_D3_Factory'!L35)</f>
        <v/>
      </c>
      <c r="AN38" s="2">
        <f>CHOOSE(Inputs!$B$12,'S1_D1_Factory'!M35,'S1_D2_Factory'!M35,'S1_D3_Factory'!M35)</f>
        <v/>
      </c>
      <c r="AO38" s="2">
        <f>CHOOSE(Inputs!$B$12,'S1_D1_Factory'!N35,'S1_D2_Factory'!N35,'S1_D3_Factory'!N35)</f>
        <v/>
      </c>
      <c r="AP38" s="2">
        <f>SUM(H38,R38,AB38,AL38)</f>
        <v/>
      </c>
      <c r="AQ38" s="2">
        <f>SUM(I38,S38,AC38,AM38)</f>
        <v/>
      </c>
      <c r="AR38" s="2">
        <f>SUM(J38,T38,AD38,AN38)</f>
        <v/>
      </c>
      <c r="AS38" s="2">
        <f>AS37+AR38</f>
        <v/>
      </c>
    </row>
    <row r="39">
      <c r="A39" s="2" t="n">
        <v>35</v>
      </c>
      <c r="B39" s="2">
        <f>CHOOSE(Inputs!$B$12,'S1_D1_Retailer'!C36,'S1_D2_Retailer'!C36,'S1_D3_Retailer'!C36)</f>
        <v/>
      </c>
      <c r="C39" s="2">
        <f>CHOOSE(Inputs!$B$12,'S1_D1_Retailer'!D36,'S1_D2_Retailer'!D36,'S1_D3_Retailer'!D36)</f>
        <v/>
      </c>
      <c r="D39" s="2">
        <f>CHOOSE(Inputs!$B$12,'S1_D1_Retailer'!H36,'S1_D2_Retailer'!H36,'S1_D3_Retailer'!H36)</f>
        <v/>
      </c>
      <c r="E39" s="2">
        <f>CHOOSE(Inputs!$B$12,'S1_D1_Retailer'!I36,'S1_D2_Retailer'!I36,'S1_D3_Retailer'!I36)</f>
        <v/>
      </c>
      <c r="F39" s="2">
        <f>CHOOSE(Inputs!$B$12,'S1_D1_Retailer'!J36,'S1_D2_Retailer'!J36,'S1_D3_Retailer'!J36)</f>
        <v/>
      </c>
      <c r="G39" s="2">
        <f>CHOOSE(Inputs!$B$12,'S1_D1_Retailer'!P36,'S1_D2_Retailer'!P36,'S1_D3_Retailer'!P36)</f>
        <v/>
      </c>
      <c r="H39" s="2">
        <f>CHOOSE(Inputs!$B$12,'S1_D1_Retailer'!K36,'S1_D2_Retailer'!K36,'S1_D3_Retailer'!K36)</f>
        <v/>
      </c>
      <c r="I39" s="2">
        <f>CHOOSE(Inputs!$B$12,'S1_D1_Retailer'!L36,'S1_D2_Retailer'!L36,'S1_D3_Retailer'!L36)</f>
        <v/>
      </c>
      <c r="J39" s="2">
        <f>CHOOSE(Inputs!$B$12,'S1_D1_Retailer'!M36,'S1_D2_Retailer'!M36,'S1_D3_Retailer'!M36)</f>
        <v/>
      </c>
      <c r="K39" s="2">
        <f>CHOOSE(Inputs!$B$12,'S1_D1_Retailer'!N36,'S1_D2_Retailer'!N36,'S1_D3_Retailer'!N36)</f>
        <v/>
      </c>
      <c r="L39" s="2">
        <f>CHOOSE(Inputs!$B$12,'S1_D1_Wholesaler'!C36,'S1_D2_Wholesaler'!C36,'S1_D3_Wholesaler'!C36)</f>
        <v/>
      </c>
      <c r="M39" s="2">
        <f>CHOOSE(Inputs!$B$12,'S1_D1_Wholesaler'!D36,'S1_D2_Wholesaler'!D36,'S1_D3_Wholesaler'!D36)</f>
        <v/>
      </c>
      <c r="N39" s="2">
        <f>CHOOSE(Inputs!$B$12,'S1_D1_Wholesaler'!H36,'S1_D2_Wholesaler'!H36,'S1_D3_Wholesaler'!H36)</f>
        <v/>
      </c>
      <c r="O39" s="2">
        <f>CHOOSE(Inputs!$B$12,'S1_D1_Wholesaler'!I36,'S1_D2_Wholesaler'!I36,'S1_D3_Wholesaler'!I36)</f>
        <v/>
      </c>
      <c r="P39" s="2">
        <f>CHOOSE(Inputs!$B$12,'S1_D1_Wholesaler'!J36,'S1_D2_Wholesaler'!J36,'S1_D3_Wholesaler'!J36)</f>
        <v/>
      </c>
      <c r="Q39" s="2">
        <f>CHOOSE(Inputs!$B$12,'S1_D1_Wholesaler'!P36,'S1_D2_Wholesaler'!P36,'S1_D3_Wholesaler'!P36)</f>
        <v/>
      </c>
      <c r="R39" s="2">
        <f>CHOOSE(Inputs!$B$12,'S1_D1_Wholesaler'!K36,'S1_D2_Wholesaler'!K36,'S1_D3_Wholesaler'!K36)</f>
        <v/>
      </c>
      <c r="S39" s="2">
        <f>CHOOSE(Inputs!$B$12,'S1_D1_Wholesaler'!L36,'S1_D2_Wholesaler'!L36,'S1_D3_Wholesaler'!L36)</f>
        <v/>
      </c>
      <c r="T39" s="2">
        <f>CHOOSE(Inputs!$B$12,'S1_D1_Wholesaler'!M36,'S1_D2_Wholesaler'!M36,'S1_D3_Wholesaler'!M36)</f>
        <v/>
      </c>
      <c r="U39" s="2">
        <f>CHOOSE(Inputs!$B$12,'S1_D1_Wholesaler'!N36,'S1_D2_Wholesaler'!N36,'S1_D3_Wholesaler'!N36)</f>
        <v/>
      </c>
      <c r="V39" s="2">
        <f>CHOOSE(Inputs!$B$12,'S1_D1_Distributor'!C36,'S1_D2_Distributor'!C36,'S1_D3_Distributor'!C36)</f>
        <v/>
      </c>
      <c r="W39" s="2">
        <f>CHOOSE(Inputs!$B$12,'S1_D1_Distributor'!D36,'S1_D2_Distributor'!D36,'S1_D3_Distributor'!D36)</f>
        <v/>
      </c>
      <c r="X39" s="2">
        <f>CHOOSE(Inputs!$B$12,'S1_D1_Distributor'!H36,'S1_D2_Distributor'!H36,'S1_D3_Distributor'!H36)</f>
        <v/>
      </c>
      <c r="Y39" s="2">
        <f>CHOOSE(Inputs!$B$12,'S1_D1_Distributor'!I36,'S1_D2_Distributor'!I36,'S1_D3_Distributor'!I36)</f>
        <v/>
      </c>
      <c r="Z39" s="2">
        <f>CHOOSE(Inputs!$B$12,'S1_D1_Distributor'!J36,'S1_D2_Distributor'!J36,'S1_D3_Distributor'!J36)</f>
        <v/>
      </c>
      <c r="AA39" s="2">
        <f>CHOOSE(Inputs!$B$12,'S1_D1_Distributor'!P36,'S1_D2_Distributor'!P36,'S1_D3_Distributor'!P36)</f>
        <v/>
      </c>
      <c r="AB39" s="2">
        <f>CHOOSE(Inputs!$B$12,'S1_D1_Distributor'!K36,'S1_D2_Distributor'!K36,'S1_D3_Distributor'!K36)</f>
        <v/>
      </c>
      <c r="AC39" s="2">
        <f>CHOOSE(Inputs!$B$12,'S1_D1_Distributor'!L36,'S1_D2_Distributor'!L36,'S1_D3_Distributor'!L36)</f>
        <v/>
      </c>
      <c r="AD39" s="2">
        <f>CHOOSE(Inputs!$B$12,'S1_D1_Distributor'!M36,'S1_D2_Distributor'!M36,'S1_D3_Distributor'!M36)</f>
        <v/>
      </c>
      <c r="AE39" s="2">
        <f>CHOOSE(Inputs!$B$12,'S1_D1_Distributor'!N36,'S1_D2_Distributor'!N36,'S1_D3_Distributor'!N36)</f>
        <v/>
      </c>
      <c r="AF39" s="2">
        <f>CHOOSE(Inputs!$B$12,'S1_D1_Factory'!C36,'S1_D2_Factory'!C36,'S1_D3_Factory'!C36)</f>
        <v/>
      </c>
      <c r="AG39" s="2">
        <f>CHOOSE(Inputs!$B$12,'S1_D1_Factory'!D36,'S1_D2_Factory'!D36,'S1_D3_Factory'!D36)</f>
        <v/>
      </c>
      <c r="AH39" s="2">
        <f>CHOOSE(Inputs!$B$12,'S1_D1_Factory'!H36,'S1_D2_Factory'!H36,'S1_D3_Factory'!H36)</f>
        <v/>
      </c>
      <c r="AI39" s="2">
        <f>CHOOSE(Inputs!$B$12,'S1_D1_Factory'!I36,'S1_D2_Factory'!I36,'S1_D3_Factory'!I36)</f>
        <v/>
      </c>
      <c r="AJ39" s="2">
        <f>CHOOSE(Inputs!$B$12,'S1_D1_Factory'!J36,'S1_D2_Factory'!J36,'S1_D3_Factory'!J36)</f>
        <v/>
      </c>
      <c r="AK39" s="2">
        <f>CHOOSE(Inputs!$B$12,'S1_D1_Factory'!P36,'S1_D2_Factory'!P36,'S1_D3_Factory'!P36)</f>
        <v/>
      </c>
      <c r="AL39" s="2">
        <f>CHOOSE(Inputs!$B$12,'S1_D1_Factory'!K36,'S1_D2_Factory'!K36,'S1_D3_Factory'!K36)</f>
        <v/>
      </c>
      <c r="AM39" s="2">
        <f>CHOOSE(Inputs!$B$12,'S1_D1_Factory'!L36,'S1_D2_Factory'!L36,'S1_D3_Factory'!L36)</f>
        <v/>
      </c>
      <c r="AN39" s="2">
        <f>CHOOSE(Inputs!$B$12,'S1_D1_Factory'!M36,'S1_D2_Factory'!M36,'S1_D3_Factory'!M36)</f>
        <v/>
      </c>
      <c r="AO39" s="2">
        <f>CHOOSE(Inputs!$B$12,'S1_D1_Factory'!N36,'S1_D2_Factory'!N36,'S1_D3_Factory'!N36)</f>
        <v/>
      </c>
      <c r="AP39" s="2">
        <f>SUM(H39,R39,AB39,AL39)</f>
        <v/>
      </c>
      <c r="AQ39" s="2">
        <f>SUM(I39,S39,AC39,AM39)</f>
        <v/>
      </c>
      <c r="AR39" s="2">
        <f>SUM(J39,T39,AD39,AN39)</f>
        <v/>
      </c>
      <c r="AS39" s="2">
        <f>AS38+AR39</f>
        <v/>
      </c>
    </row>
  </sheetData>
  <mergeCells count="6">
    <mergeCell ref="A3:A4"/>
    <mergeCell ref="AF3:AO3"/>
    <mergeCell ref="V3:AE3"/>
    <mergeCell ref="L3:U3"/>
    <mergeCell ref="AP3:AS3"/>
    <mergeCell ref="B3:K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64</v>
      </c>
      <c r="C2" t="n">
        <v>64</v>
      </c>
      <c r="D2" t="n">
        <v>50</v>
      </c>
      <c r="E2" t="n">
        <v>100</v>
      </c>
      <c r="F2" t="n">
        <v>0</v>
      </c>
      <c r="G2" t="n">
        <v>64</v>
      </c>
      <c r="H2" t="n">
        <v>64</v>
      </c>
      <c r="I2" t="n">
        <v>86</v>
      </c>
      <c r="J2" t="n">
        <v>0</v>
      </c>
      <c r="K2" t="n">
        <v>21.5</v>
      </c>
      <c r="L2" t="n">
        <v>0</v>
      </c>
      <c r="M2" t="n">
        <v>21.5</v>
      </c>
      <c r="N2" t="n">
        <v>21.5</v>
      </c>
      <c r="P2" t="n">
        <v>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96</v>
      </c>
      <c r="C3" t="n">
        <v>96</v>
      </c>
      <c r="D3" t="n">
        <v>50</v>
      </c>
      <c r="E3" t="n">
        <v>86</v>
      </c>
      <c r="F3" t="n">
        <v>0</v>
      </c>
      <c r="G3" t="n">
        <v>96</v>
      </c>
      <c r="H3" t="n">
        <v>96</v>
      </c>
      <c r="I3" t="n">
        <v>40</v>
      </c>
      <c r="J3" t="n">
        <v>0</v>
      </c>
      <c r="K3" t="n">
        <v>10</v>
      </c>
      <c r="L3" t="n">
        <v>0</v>
      </c>
      <c r="M3" t="n">
        <v>10</v>
      </c>
      <c r="N3" t="n">
        <v>31.5</v>
      </c>
      <c r="P3" t="n">
        <v>160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76</v>
      </c>
      <c r="C4" t="n">
        <v>76</v>
      </c>
      <c r="D4" t="n">
        <v>0</v>
      </c>
      <c r="E4" t="n">
        <v>40</v>
      </c>
      <c r="F4" t="n">
        <v>0</v>
      </c>
      <c r="G4" t="n">
        <v>76</v>
      </c>
      <c r="H4" t="n">
        <v>40</v>
      </c>
      <c r="I4" t="n">
        <v>0</v>
      </c>
      <c r="J4" t="n">
        <v>36</v>
      </c>
      <c r="K4" t="n">
        <v>0</v>
      </c>
      <c r="L4" t="n">
        <v>36</v>
      </c>
      <c r="M4" t="n">
        <v>36</v>
      </c>
      <c r="N4" t="n">
        <v>67.5</v>
      </c>
      <c r="P4" t="n">
        <v>236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88</v>
      </c>
      <c r="C5" t="n">
        <v>88</v>
      </c>
      <c r="D5" t="n">
        <v>0</v>
      </c>
      <c r="E5" t="n">
        <v>0</v>
      </c>
      <c r="F5" t="n">
        <v>36</v>
      </c>
      <c r="G5" t="n">
        <v>124</v>
      </c>
      <c r="H5" t="n">
        <v>0</v>
      </c>
      <c r="I5" t="n">
        <v>0</v>
      </c>
      <c r="J5" t="n">
        <v>124</v>
      </c>
      <c r="K5" t="n">
        <v>0</v>
      </c>
      <c r="L5" t="n">
        <v>124</v>
      </c>
      <c r="M5" t="n">
        <v>124</v>
      </c>
      <c r="N5" t="n">
        <v>191.5</v>
      </c>
      <c r="P5" t="n">
        <v>260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72</v>
      </c>
      <c r="C6" t="n">
        <v>72</v>
      </c>
      <c r="D6" t="n">
        <v>64</v>
      </c>
      <c r="E6" t="n">
        <v>0</v>
      </c>
      <c r="F6" t="n">
        <v>124</v>
      </c>
      <c r="G6" t="n">
        <v>196</v>
      </c>
      <c r="H6" t="n">
        <v>64</v>
      </c>
      <c r="I6" t="n">
        <v>0</v>
      </c>
      <c r="J6" t="n">
        <v>132</v>
      </c>
      <c r="K6" t="n">
        <v>0</v>
      </c>
      <c r="L6" t="n">
        <v>132</v>
      </c>
      <c r="M6" t="n">
        <v>132</v>
      </c>
      <c r="N6" t="n">
        <v>323.5</v>
      </c>
      <c r="P6" t="n">
        <v>196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104</v>
      </c>
      <c r="C7" t="n">
        <v>104</v>
      </c>
      <c r="D7" t="n">
        <v>136</v>
      </c>
      <c r="E7" t="n">
        <v>0</v>
      </c>
      <c r="F7" t="n">
        <v>132</v>
      </c>
      <c r="G7" t="n">
        <v>236</v>
      </c>
      <c r="H7" t="n">
        <v>136</v>
      </c>
      <c r="I7" t="n">
        <v>0</v>
      </c>
      <c r="J7" t="n">
        <v>100</v>
      </c>
      <c r="K7" t="n">
        <v>0</v>
      </c>
      <c r="L7" t="n">
        <v>100</v>
      </c>
      <c r="M7" t="n">
        <v>100</v>
      </c>
      <c r="N7" t="n">
        <v>423.5</v>
      </c>
      <c r="P7" t="n">
        <v>200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68</v>
      </c>
      <c r="C8" t="n">
        <v>68</v>
      </c>
      <c r="D8" t="n">
        <v>100</v>
      </c>
      <c r="E8" t="n">
        <v>0</v>
      </c>
      <c r="F8" t="n">
        <v>100</v>
      </c>
      <c r="G8" t="n">
        <v>168</v>
      </c>
      <c r="H8" t="n">
        <v>100</v>
      </c>
      <c r="I8" t="n">
        <v>0</v>
      </c>
      <c r="J8" t="n">
        <v>68</v>
      </c>
      <c r="K8" t="n">
        <v>0</v>
      </c>
      <c r="L8" t="n">
        <v>68</v>
      </c>
      <c r="M8" t="n">
        <v>68</v>
      </c>
      <c r="N8" t="n">
        <v>491.5</v>
      </c>
      <c r="P8" t="n">
        <v>168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92</v>
      </c>
      <c r="C9" t="n">
        <v>92</v>
      </c>
      <c r="D9" t="n">
        <v>100</v>
      </c>
      <c r="E9" t="n">
        <v>0</v>
      </c>
      <c r="F9" t="n">
        <v>68</v>
      </c>
      <c r="G9" t="n">
        <v>160</v>
      </c>
      <c r="H9" t="n">
        <v>100</v>
      </c>
      <c r="I9" t="n">
        <v>0</v>
      </c>
      <c r="J9" t="n">
        <v>60</v>
      </c>
      <c r="K9" t="n">
        <v>0</v>
      </c>
      <c r="L9" t="n">
        <v>60</v>
      </c>
      <c r="M9" t="n">
        <v>60</v>
      </c>
      <c r="N9" t="n">
        <v>551.5</v>
      </c>
      <c r="P9" t="n">
        <v>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80</v>
      </c>
      <c r="C10" t="n">
        <v>80</v>
      </c>
      <c r="D10" t="n">
        <v>164</v>
      </c>
      <c r="E10" t="n">
        <v>0</v>
      </c>
      <c r="F10" t="n">
        <v>60</v>
      </c>
      <c r="G10" t="n">
        <v>140</v>
      </c>
      <c r="H10" t="n">
        <v>140</v>
      </c>
      <c r="I10" t="n">
        <v>24</v>
      </c>
      <c r="J10" t="n">
        <v>0</v>
      </c>
      <c r="K10" t="n">
        <v>6</v>
      </c>
      <c r="L10" t="n">
        <v>0</v>
      </c>
      <c r="M10" t="n">
        <v>6</v>
      </c>
      <c r="N10" t="n">
        <v>557.5</v>
      </c>
      <c r="P10" t="n">
        <v>252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84</v>
      </c>
      <c r="C11" t="n">
        <v>84</v>
      </c>
      <c r="D11" t="n">
        <v>124</v>
      </c>
      <c r="E11" t="n">
        <v>24</v>
      </c>
      <c r="F11" t="n">
        <v>0</v>
      </c>
      <c r="G11" t="n">
        <v>84</v>
      </c>
      <c r="H11" t="n">
        <v>84</v>
      </c>
      <c r="I11" t="n">
        <v>64</v>
      </c>
      <c r="J11" t="n">
        <v>0</v>
      </c>
      <c r="K11" t="n">
        <v>16</v>
      </c>
      <c r="L11" t="n">
        <v>0</v>
      </c>
      <c r="M11" t="n">
        <v>16</v>
      </c>
      <c r="N11" t="n">
        <v>573.5</v>
      </c>
      <c r="P11" t="n">
        <v>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60</v>
      </c>
      <c r="C12" t="n">
        <v>60</v>
      </c>
      <c r="D12" t="n">
        <v>260</v>
      </c>
      <c r="E12" t="n">
        <v>64</v>
      </c>
      <c r="F12" t="n">
        <v>0</v>
      </c>
      <c r="G12" t="n">
        <v>60</v>
      </c>
      <c r="H12" t="n">
        <v>60</v>
      </c>
      <c r="I12" t="n">
        <v>264</v>
      </c>
      <c r="J12" t="n">
        <v>0</v>
      </c>
      <c r="K12" t="n">
        <v>66</v>
      </c>
      <c r="L12" t="n">
        <v>0</v>
      </c>
      <c r="M12" t="n">
        <v>66</v>
      </c>
      <c r="N12" t="n">
        <v>639.5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100</v>
      </c>
      <c r="C13" t="n">
        <v>100</v>
      </c>
      <c r="D13" t="n">
        <v>352</v>
      </c>
      <c r="E13" t="n">
        <v>264</v>
      </c>
      <c r="F13" t="n">
        <v>0</v>
      </c>
      <c r="G13" t="n">
        <v>100</v>
      </c>
      <c r="H13" t="n">
        <v>100</v>
      </c>
      <c r="I13" t="n">
        <v>516</v>
      </c>
      <c r="J13" t="n">
        <v>0</v>
      </c>
      <c r="K13" t="n">
        <v>129</v>
      </c>
      <c r="L13" t="n">
        <v>0</v>
      </c>
      <c r="M13" t="n">
        <v>129</v>
      </c>
      <c r="N13" t="n">
        <v>768.5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78</v>
      </c>
      <c r="C14" t="n">
        <v>78</v>
      </c>
      <c r="D14" t="n">
        <v>300</v>
      </c>
      <c r="E14" t="n">
        <v>516</v>
      </c>
      <c r="F14" t="n">
        <v>0</v>
      </c>
      <c r="G14" t="n">
        <v>78</v>
      </c>
      <c r="H14" t="n">
        <v>78</v>
      </c>
      <c r="I14" t="n">
        <v>738</v>
      </c>
      <c r="J14" t="n">
        <v>0</v>
      </c>
      <c r="K14" t="n">
        <v>184.5</v>
      </c>
      <c r="L14" t="n">
        <v>0</v>
      </c>
      <c r="M14" t="n">
        <v>184.5</v>
      </c>
      <c r="N14" t="n">
        <v>953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82</v>
      </c>
      <c r="C15" t="n">
        <v>82</v>
      </c>
      <c r="D15" t="n">
        <v>108</v>
      </c>
      <c r="E15" t="n">
        <v>738</v>
      </c>
      <c r="F15" t="n">
        <v>0</v>
      </c>
      <c r="G15" t="n">
        <v>82</v>
      </c>
      <c r="H15" t="n">
        <v>82</v>
      </c>
      <c r="I15" t="n">
        <v>764</v>
      </c>
      <c r="J15" t="n">
        <v>0</v>
      </c>
      <c r="K15" t="n">
        <v>191</v>
      </c>
      <c r="L15" t="n">
        <v>0</v>
      </c>
      <c r="M15" t="n">
        <v>191</v>
      </c>
      <c r="N15" t="n">
        <v>1144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70</v>
      </c>
      <c r="C16" t="n">
        <v>70</v>
      </c>
      <c r="D16" t="n">
        <v>0</v>
      </c>
      <c r="E16" t="n">
        <v>764</v>
      </c>
      <c r="F16" t="n">
        <v>0</v>
      </c>
      <c r="G16" t="n">
        <v>70</v>
      </c>
      <c r="H16" t="n">
        <v>70</v>
      </c>
      <c r="I16" t="n">
        <v>694</v>
      </c>
      <c r="J16" t="n">
        <v>0</v>
      </c>
      <c r="K16" t="n">
        <v>173.5</v>
      </c>
      <c r="L16" t="n">
        <v>0</v>
      </c>
      <c r="M16" t="n">
        <v>173.5</v>
      </c>
      <c r="N16" t="n">
        <v>1317.5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90</v>
      </c>
      <c r="C17" t="n">
        <v>90</v>
      </c>
      <c r="D17" t="n">
        <v>0</v>
      </c>
      <c r="E17" t="n">
        <v>694</v>
      </c>
      <c r="F17" t="n">
        <v>0</v>
      </c>
      <c r="G17" t="n">
        <v>90</v>
      </c>
      <c r="H17" t="n">
        <v>90</v>
      </c>
      <c r="I17" t="n">
        <v>604</v>
      </c>
      <c r="J17" t="n">
        <v>0</v>
      </c>
      <c r="K17" t="n">
        <v>151</v>
      </c>
      <c r="L17" t="n">
        <v>0</v>
      </c>
      <c r="M17" t="n">
        <v>151</v>
      </c>
      <c r="N17" t="n">
        <v>1468.5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74</v>
      </c>
      <c r="C18" t="n">
        <v>74</v>
      </c>
      <c r="D18" t="n">
        <v>0</v>
      </c>
      <c r="E18" t="n">
        <v>604</v>
      </c>
      <c r="F18" t="n">
        <v>0</v>
      </c>
      <c r="G18" t="n">
        <v>74</v>
      </c>
      <c r="H18" t="n">
        <v>74</v>
      </c>
      <c r="I18" t="n">
        <v>530</v>
      </c>
      <c r="J18" t="n">
        <v>0</v>
      </c>
      <c r="K18" t="n">
        <v>132.5</v>
      </c>
      <c r="L18" t="n">
        <v>0</v>
      </c>
      <c r="M18" t="n">
        <v>132.5</v>
      </c>
      <c r="N18" t="n">
        <v>1601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86</v>
      </c>
      <c r="C19" t="n">
        <v>86</v>
      </c>
      <c r="D19" t="n">
        <v>0</v>
      </c>
      <c r="E19" t="n">
        <v>530</v>
      </c>
      <c r="F19" t="n">
        <v>0</v>
      </c>
      <c r="G19" t="n">
        <v>86</v>
      </c>
      <c r="H19" t="n">
        <v>86</v>
      </c>
      <c r="I19" t="n">
        <v>444</v>
      </c>
      <c r="J19" t="n">
        <v>0</v>
      </c>
      <c r="K19" t="n">
        <v>111</v>
      </c>
      <c r="L19" t="n">
        <v>0</v>
      </c>
      <c r="M19" t="n">
        <v>111</v>
      </c>
      <c r="N19" t="n">
        <v>1712</v>
      </c>
      <c r="P19" t="n">
        <v>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56</v>
      </c>
      <c r="C20" t="n">
        <v>56</v>
      </c>
      <c r="D20" t="n">
        <v>0</v>
      </c>
      <c r="E20" t="n">
        <v>444</v>
      </c>
      <c r="F20" t="n">
        <v>0</v>
      </c>
      <c r="G20" t="n">
        <v>56</v>
      </c>
      <c r="H20" t="n">
        <v>56</v>
      </c>
      <c r="I20" t="n">
        <v>388</v>
      </c>
      <c r="J20" t="n">
        <v>0</v>
      </c>
      <c r="K20" t="n">
        <v>97</v>
      </c>
      <c r="L20" t="n">
        <v>0</v>
      </c>
      <c r="M20" t="n">
        <v>97</v>
      </c>
      <c r="N20" t="n">
        <v>1809</v>
      </c>
      <c r="P20" t="n">
        <v>112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112</v>
      </c>
      <c r="C21" t="n">
        <v>112</v>
      </c>
      <c r="D21" t="n">
        <v>0</v>
      </c>
      <c r="E21" t="n">
        <v>388</v>
      </c>
      <c r="F21" t="n">
        <v>0</v>
      </c>
      <c r="G21" t="n">
        <v>112</v>
      </c>
      <c r="H21" t="n">
        <v>112</v>
      </c>
      <c r="I21" t="n">
        <v>276</v>
      </c>
      <c r="J21" t="n">
        <v>0</v>
      </c>
      <c r="K21" t="n">
        <v>69</v>
      </c>
      <c r="L21" t="n">
        <v>0</v>
      </c>
      <c r="M21" t="n">
        <v>69</v>
      </c>
      <c r="N21" t="n">
        <v>1878</v>
      </c>
      <c r="P21" t="n">
        <v>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77</v>
      </c>
      <c r="C22" t="n">
        <v>77</v>
      </c>
      <c r="D22" t="n">
        <v>0</v>
      </c>
      <c r="E22" t="n">
        <v>276</v>
      </c>
      <c r="F22" t="n">
        <v>0</v>
      </c>
      <c r="G22" t="n">
        <v>77</v>
      </c>
      <c r="H22" t="n">
        <v>77</v>
      </c>
      <c r="I22" t="n">
        <v>199</v>
      </c>
      <c r="J22" t="n">
        <v>0</v>
      </c>
      <c r="K22" t="n">
        <v>49.75</v>
      </c>
      <c r="L22" t="n">
        <v>0</v>
      </c>
      <c r="M22" t="n">
        <v>49.75</v>
      </c>
      <c r="N22" t="n">
        <v>1927.75</v>
      </c>
      <c r="P22" t="n">
        <v>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83</v>
      </c>
      <c r="C23" t="n">
        <v>83</v>
      </c>
      <c r="D23" t="n">
        <v>56</v>
      </c>
      <c r="E23" t="n">
        <v>199</v>
      </c>
      <c r="F23" t="n">
        <v>0</v>
      </c>
      <c r="G23" t="n">
        <v>83</v>
      </c>
      <c r="H23" t="n">
        <v>83</v>
      </c>
      <c r="I23" t="n">
        <v>172</v>
      </c>
      <c r="J23" t="n">
        <v>0</v>
      </c>
      <c r="K23" t="n">
        <v>43</v>
      </c>
      <c r="L23" t="n">
        <v>0</v>
      </c>
      <c r="M23" t="n">
        <v>43</v>
      </c>
      <c r="N23" t="n">
        <v>1970.75</v>
      </c>
      <c r="P23" t="n">
        <v>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69</v>
      </c>
      <c r="C24" t="n">
        <v>69</v>
      </c>
      <c r="D24" t="n">
        <v>112</v>
      </c>
      <c r="E24" t="n">
        <v>172</v>
      </c>
      <c r="F24" t="n">
        <v>0</v>
      </c>
      <c r="G24" t="n">
        <v>69</v>
      </c>
      <c r="H24" t="n">
        <v>69</v>
      </c>
      <c r="I24" t="n">
        <v>215</v>
      </c>
      <c r="J24" t="n">
        <v>0</v>
      </c>
      <c r="K24" t="n">
        <v>53.75</v>
      </c>
      <c r="L24" t="n">
        <v>0</v>
      </c>
      <c r="M24" t="n">
        <v>53.75</v>
      </c>
      <c r="N24" t="n">
        <v>2024.5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91</v>
      </c>
      <c r="C25" t="n">
        <v>91</v>
      </c>
      <c r="D25" t="n">
        <v>224</v>
      </c>
      <c r="E25" t="n">
        <v>215</v>
      </c>
      <c r="F25" t="n">
        <v>0</v>
      </c>
      <c r="G25" t="n">
        <v>91</v>
      </c>
      <c r="H25" t="n">
        <v>91</v>
      </c>
      <c r="I25" t="n">
        <v>348</v>
      </c>
      <c r="J25" t="n">
        <v>0</v>
      </c>
      <c r="K25" t="n">
        <v>87</v>
      </c>
      <c r="L25" t="n">
        <v>0</v>
      </c>
      <c r="M25" t="n">
        <v>87</v>
      </c>
      <c r="N25" t="n">
        <v>2111.5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75</v>
      </c>
      <c r="C26" t="n">
        <v>75</v>
      </c>
      <c r="D26" t="n">
        <v>245</v>
      </c>
      <c r="E26" t="n">
        <v>348</v>
      </c>
      <c r="F26" t="n">
        <v>0</v>
      </c>
      <c r="G26" t="n">
        <v>75</v>
      </c>
      <c r="H26" t="n">
        <v>75</v>
      </c>
      <c r="I26" t="n">
        <v>518</v>
      </c>
      <c r="J26" t="n">
        <v>0</v>
      </c>
      <c r="K26" t="n">
        <v>129.5</v>
      </c>
      <c r="L26" t="n">
        <v>0</v>
      </c>
      <c r="M26" t="n">
        <v>129.5</v>
      </c>
      <c r="N26" t="n">
        <v>2241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85</v>
      </c>
      <c r="C27" t="n">
        <v>85</v>
      </c>
      <c r="D27" t="n">
        <v>216</v>
      </c>
      <c r="E27" t="n">
        <v>518</v>
      </c>
      <c r="F27" t="n">
        <v>0</v>
      </c>
      <c r="G27" t="n">
        <v>85</v>
      </c>
      <c r="H27" t="n">
        <v>85</v>
      </c>
      <c r="I27" t="n">
        <v>649</v>
      </c>
      <c r="J27" t="n">
        <v>0</v>
      </c>
      <c r="K27" t="n">
        <v>162.25</v>
      </c>
      <c r="L27" t="n">
        <v>0</v>
      </c>
      <c r="M27" t="n">
        <v>162.25</v>
      </c>
      <c r="N27" t="n">
        <v>2403.25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66</v>
      </c>
      <c r="C28" t="n">
        <v>66</v>
      </c>
      <c r="D28" t="n">
        <v>0</v>
      </c>
      <c r="E28" t="n">
        <v>649</v>
      </c>
      <c r="F28" t="n">
        <v>0</v>
      </c>
      <c r="G28" t="n">
        <v>66</v>
      </c>
      <c r="H28" t="n">
        <v>66</v>
      </c>
      <c r="I28" t="n">
        <v>583</v>
      </c>
      <c r="J28" t="n">
        <v>0</v>
      </c>
      <c r="K28" t="n">
        <v>145.75</v>
      </c>
      <c r="L28" t="n">
        <v>0</v>
      </c>
      <c r="M28" t="n">
        <v>145.75</v>
      </c>
      <c r="N28" t="n">
        <v>2549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94</v>
      </c>
      <c r="C29" t="n">
        <v>94</v>
      </c>
      <c r="D29" t="n">
        <v>0</v>
      </c>
      <c r="E29" t="n">
        <v>583</v>
      </c>
      <c r="F29" t="n">
        <v>0</v>
      </c>
      <c r="G29" t="n">
        <v>94</v>
      </c>
      <c r="H29" t="n">
        <v>94</v>
      </c>
      <c r="I29" t="n">
        <v>489</v>
      </c>
      <c r="J29" t="n">
        <v>0</v>
      </c>
      <c r="K29" t="n">
        <v>122.25</v>
      </c>
      <c r="L29" t="n">
        <v>0</v>
      </c>
      <c r="M29" t="n">
        <v>122.25</v>
      </c>
      <c r="N29" t="n">
        <v>2671.25</v>
      </c>
      <c r="P29" t="n">
        <v>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78</v>
      </c>
      <c r="C30" t="n">
        <v>78</v>
      </c>
      <c r="D30" t="n">
        <v>0</v>
      </c>
      <c r="E30" t="n">
        <v>489</v>
      </c>
      <c r="F30" t="n">
        <v>0</v>
      </c>
      <c r="G30" t="n">
        <v>78</v>
      </c>
      <c r="H30" t="n">
        <v>78</v>
      </c>
      <c r="I30" t="n">
        <v>411</v>
      </c>
      <c r="J30" t="n">
        <v>0</v>
      </c>
      <c r="K30" t="n">
        <v>102.75</v>
      </c>
      <c r="L30" t="n">
        <v>0</v>
      </c>
      <c r="M30" t="n">
        <v>102.75</v>
      </c>
      <c r="N30" t="n">
        <v>2774</v>
      </c>
      <c r="P30" t="n">
        <v>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82</v>
      </c>
      <c r="C31" t="n">
        <v>82</v>
      </c>
      <c r="D31" t="n">
        <v>0</v>
      </c>
      <c r="E31" t="n">
        <v>411</v>
      </c>
      <c r="F31" t="n">
        <v>0</v>
      </c>
      <c r="G31" t="n">
        <v>82</v>
      </c>
      <c r="H31" t="n">
        <v>82</v>
      </c>
      <c r="I31" t="n">
        <v>329</v>
      </c>
      <c r="J31" t="n">
        <v>0</v>
      </c>
      <c r="K31" t="n">
        <v>82.25</v>
      </c>
      <c r="L31" t="n">
        <v>0</v>
      </c>
      <c r="M31" t="n">
        <v>82.25</v>
      </c>
      <c r="N31" t="n">
        <v>2856.25</v>
      </c>
      <c r="P31" t="n">
        <v>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71</v>
      </c>
      <c r="C32" t="n">
        <v>71</v>
      </c>
      <c r="D32" t="n">
        <v>0</v>
      </c>
      <c r="E32" t="n">
        <v>329</v>
      </c>
      <c r="F32" t="n">
        <v>0</v>
      </c>
      <c r="G32" t="n">
        <v>71</v>
      </c>
      <c r="H32" t="n">
        <v>71</v>
      </c>
      <c r="I32" t="n">
        <v>258</v>
      </c>
      <c r="J32" t="n">
        <v>0</v>
      </c>
      <c r="K32" t="n">
        <v>64.5</v>
      </c>
      <c r="L32" t="n">
        <v>0</v>
      </c>
      <c r="M32" t="n">
        <v>64.5</v>
      </c>
      <c r="N32" t="n">
        <v>2920.75</v>
      </c>
      <c r="P32" t="n">
        <v>231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89</v>
      </c>
      <c r="C33" t="n">
        <v>89</v>
      </c>
      <c r="D33" t="n">
        <v>11</v>
      </c>
      <c r="E33" t="n">
        <v>258</v>
      </c>
      <c r="F33" t="n">
        <v>0</v>
      </c>
      <c r="G33" t="n">
        <v>89</v>
      </c>
      <c r="H33" t="n">
        <v>89</v>
      </c>
      <c r="I33" t="n">
        <v>180</v>
      </c>
      <c r="J33" t="n">
        <v>0</v>
      </c>
      <c r="K33" t="n">
        <v>45</v>
      </c>
      <c r="L33" t="n">
        <v>0</v>
      </c>
      <c r="M33" t="n">
        <v>45</v>
      </c>
      <c r="N33" t="n">
        <v>2965.75</v>
      </c>
      <c r="P33" t="n">
        <v>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74</v>
      </c>
      <c r="C34" t="n">
        <v>74</v>
      </c>
      <c r="D34" t="n">
        <v>89</v>
      </c>
      <c r="E34" t="n">
        <v>180</v>
      </c>
      <c r="F34" t="n">
        <v>0</v>
      </c>
      <c r="G34" t="n">
        <v>74</v>
      </c>
      <c r="H34" t="n">
        <v>74</v>
      </c>
      <c r="I34" t="n">
        <v>195</v>
      </c>
      <c r="J34" t="n">
        <v>0</v>
      </c>
      <c r="K34" t="n">
        <v>48.75</v>
      </c>
      <c r="L34" t="n">
        <v>0</v>
      </c>
      <c r="M34" t="n">
        <v>48.75</v>
      </c>
      <c r="N34" t="n">
        <v>3014.5</v>
      </c>
      <c r="P34" t="n">
        <v>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86</v>
      </c>
      <c r="C35" t="n">
        <v>86</v>
      </c>
      <c r="D35" t="n">
        <v>171</v>
      </c>
      <c r="E35" t="n">
        <v>195</v>
      </c>
      <c r="F35" t="n">
        <v>0</v>
      </c>
      <c r="G35" t="n">
        <v>86</v>
      </c>
      <c r="H35" t="n">
        <v>86</v>
      </c>
      <c r="I35" t="n">
        <v>280</v>
      </c>
      <c r="J35" t="n">
        <v>0</v>
      </c>
      <c r="K35" t="n">
        <v>70</v>
      </c>
      <c r="L35" t="n">
        <v>0</v>
      </c>
      <c r="M35" t="n">
        <v>70</v>
      </c>
      <c r="N35" t="n">
        <v>3084.5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48</v>
      </c>
      <c r="C36" t="n">
        <v>48</v>
      </c>
      <c r="D36" t="n">
        <v>231</v>
      </c>
      <c r="E36" t="n">
        <v>280</v>
      </c>
      <c r="F36" t="n">
        <v>0</v>
      </c>
      <c r="G36" t="n">
        <v>48</v>
      </c>
      <c r="H36" t="n">
        <v>48</v>
      </c>
      <c r="I36" t="n">
        <v>463</v>
      </c>
      <c r="J36" t="n">
        <v>0</v>
      </c>
      <c r="K36" t="n">
        <v>115.75</v>
      </c>
      <c r="L36" t="n">
        <v>0</v>
      </c>
      <c r="M36" t="n">
        <v>115.75</v>
      </c>
      <c r="N36" t="n">
        <v>3200.25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64</v>
      </c>
      <c r="C4" t="n">
        <v>64</v>
      </c>
      <c r="D4" t="n">
        <v>0</v>
      </c>
      <c r="E4" t="n">
        <v>200</v>
      </c>
      <c r="F4" t="n">
        <v>0</v>
      </c>
      <c r="G4" t="n">
        <v>64</v>
      </c>
      <c r="H4" t="n">
        <v>64</v>
      </c>
      <c r="I4" t="n">
        <v>136</v>
      </c>
      <c r="J4" t="n">
        <v>0</v>
      </c>
      <c r="K4" t="n">
        <v>34</v>
      </c>
      <c r="L4" t="n">
        <v>0</v>
      </c>
      <c r="M4" t="n">
        <v>34</v>
      </c>
      <c r="N4" t="n">
        <v>121.5</v>
      </c>
      <c r="P4" t="n">
        <v>164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160</v>
      </c>
      <c r="C5" t="n">
        <v>160</v>
      </c>
      <c r="D5" t="n">
        <v>0</v>
      </c>
      <c r="E5" t="n">
        <v>136</v>
      </c>
      <c r="F5" t="n">
        <v>0</v>
      </c>
      <c r="G5" t="n">
        <v>160</v>
      </c>
      <c r="H5" t="n">
        <v>136</v>
      </c>
      <c r="I5" t="n">
        <v>0</v>
      </c>
      <c r="J5" t="n">
        <v>24</v>
      </c>
      <c r="K5" t="n">
        <v>0</v>
      </c>
      <c r="L5" t="n">
        <v>24</v>
      </c>
      <c r="M5" t="n">
        <v>24</v>
      </c>
      <c r="N5" t="n">
        <v>145.5</v>
      </c>
      <c r="P5" t="n">
        <v>124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236</v>
      </c>
      <c r="C6" t="n">
        <v>236</v>
      </c>
      <c r="D6" t="n">
        <v>100</v>
      </c>
      <c r="E6" t="n">
        <v>0</v>
      </c>
      <c r="F6" t="n">
        <v>24</v>
      </c>
      <c r="G6" t="n">
        <v>260</v>
      </c>
      <c r="H6" t="n">
        <v>100</v>
      </c>
      <c r="I6" t="n">
        <v>0</v>
      </c>
      <c r="J6" t="n">
        <v>160</v>
      </c>
      <c r="K6" t="n">
        <v>0</v>
      </c>
      <c r="L6" t="n">
        <v>160</v>
      </c>
      <c r="M6" t="n">
        <v>160</v>
      </c>
      <c r="N6" t="n">
        <v>305.5</v>
      </c>
      <c r="P6" t="n">
        <v>260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260</v>
      </c>
      <c r="C7" t="n">
        <v>260</v>
      </c>
      <c r="D7" t="n">
        <v>100</v>
      </c>
      <c r="E7" t="n">
        <v>0</v>
      </c>
      <c r="F7" t="n">
        <v>160</v>
      </c>
      <c r="G7" t="n">
        <v>420</v>
      </c>
      <c r="H7" t="n">
        <v>100</v>
      </c>
      <c r="I7" t="n">
        <v>0</v>
      </c>
      <c r="J7" t="n">
        <v>320</v>
      </c>
      <c r="K7" t="n">
        <v>0</v>
      </c>
      <c r="L7" t="n">
        <v>320</v>
      </c>
      <c r="M7" t="n">
        <v>320</v>
      </c>
      <c r="N7" t="n">
        <v>625.5</v>
      </c>
      <c r="P7" t="n">
        <v>356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196</v>
      </c>
      <c r="C8" t="n">
        <v>196</v>
      </c>
      <c r="D8" t="n">
        <v>164</v>
      </c>
      <c r="E8" t="n">
        <v>0</v>
      </c>
      <c r="F8" t="n">
        <v>320</v>
      </c>
      <c r="G8" t="n">
        <v>516</v>
      </c>
      <c r="H8" t="n">
        <v>164</v>
      </c>
      <c r="I8" t="n">
        <v>0</v>
      </c>
      <c r="J8" t="n">
        <v>352</v>
      </c>
      <c r="K8" t="n">
        <v>0</v>
      </c>
      <c r="L8" t="n">
        <v>352</v>
      </c>
      <c r="M8" t="n">
        <v>352</v>
      </c>
      <c r="N8" t="n">
        <v>977.5</v>
      </c>
      <c r="P8" t="n">
        <v>428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200</v>
      </c>
      <c r="C9" t="n">
        <v>200</v>
      </c>
      <c r="D9" t="n">
        <v>124</v>
      </c>
      <c r="E9" t="n">
        <v>0</v>
      </c>
      <c r="F9" t="n">
        <v>352</v>
      </c>
      <c r="G9" t="n">
        <v>552</v>
      </c>
      <c r="H9" t="n">
        <v>124</v>
      </c>
      <c r="I9" t="n">
        <v>0</v>
      </c>
      <c r="J9" t="n">
        <v>428</v>
      </c>
      <c r="K9" t="n">
        <v>0</v>
      </c>
      <c r="L9" t="n">
        <v>428</v>
      </c>
      <c r="M9" t="n">
        <v>428</v>
      </c>
      <c r="N9" t="n">
        <v>1405.5</v>
      </c>
      <c r="P9" t="n">
        <v>368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168</v>
      </c>
      <c r="C10" t="n">
        <v>168</v>
      </c>
      <c r="D10" t="n">
        <v>260</v>
      </c>
      <c r="E10" t="n">
        <v>0</v>
      </c>
      <c r="F10" t="n">
        <v>428</v>
      </c>
      <c r="G10" t="n">
        <v>596</v>
      </c>
      <c r="H10" t="n">
        <v>260</v>
      </c>
      <c r="I10" t="n">
        <v>0</v>
      </c>
      <c r="J10" t="n">
        <v>336</v>
      </c>
      <c r="K10" t="n">
        <v>0</v>
      </c>
      <c r="L10" t="n">
        <v>336</v>
      </c>
      <c r="M10" t="n">
        <v>336</v>
      </c>
      <c r="N10" t="n">
        <v>1741.5</v>
      </c>
      <c r="P10" t="n">
        <v>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96</v>
      </c>
      <c r="C11" t="n">
        <v>96</v>
      </c>
      <c r="D11" t="n">
        <v>352</v>
      </c>
      <c r="E11" t="n">
        <v>0</v>
      </c>
      <c r="F11" t="n">
        <v>336</v>
      </c>
      <c r="G11" t="n">
        <v>432</v>
      </c>
      <c r="H11" t="n">
        <v>352</v>
      </c>
      <c r="I11" t="n">
        <v>0</v>
      </c>
      <c r="J11" t="n">
        <v>80</v>
      </c>
      <c r="K11" t="n">
        <v>0</v>
      </c>
      <c r="L11" t="n">
        <v>80</v>
      </c>
      <c r="M11" t="n">
        <v>80</v>
      </c>
      <c r="N11" t="n">
        <v>1821.5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252</v>
      </c>
      <c r="C12" t="n">
        <v>252</v>
      </c>
      <c r="D12" t="n">
        <v>300</v>
      </c>
      <c r="E12" t="n">
        <v>0</v>
      </c>
      <c r="F12" t="n">
        <v>80</v>
      </c>
      <c r="G12" t="n">
        <v>332</v>
      </c>
      <c r="H12" t="n">
        <v>300</v>
      </c>
      <c r="I12" t="n">
        <v>0</v>
      </c>
      <c r="J12" t="n">
        <v>32</v>
      </c>
      <c r="K12" t="n">
        <v>0</v>
      </c>
      <c r="L12" t="n">
        <v>32</v>
      </c>
      <c r="M12" t="n">
        <v>32</v>
      </c>
      <c r="N12" t="n">
        <v>1853.5</v>
      </c>
      <c r="P12" t="n">
        <v>80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76</v>
      </c>
      <c r="C13" t="n">
        <v>76</v>
      </c>
      <c r="D13" t="n">
        <v>152</v>
      </c>
      <c r="E13" t="n">
        <v>0</v>
      </c>
      <c r="F13" t="n">
        <v>32</v>
      </c>
      <c r="G13" t="n">
        <v>108</v>
      </c>
      <c r="H13" t="n">
        <v>108</v>
      </c>
      <c r="I13" t="n">
        <v>44</v>
      </c>
      <c r="J13" t="n">
        <v>0</v>
      </c>
      <c r="K13" t="n">
        <v>11</v>
      </c>
      <c r="L13" t="n">
        <v>0</v>
      </c>
      <c r="M13" t="n">
        <v>11</v>
      </c>
      <c r="N13" t="n">
        <v>1864.5</v>
      </c>
      <c r="P13" t="n">
        <v>108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</v>
      </c>
      <c r="C14" t="n">
        <v>0</v>
      </c>
      <c r="D14" t="n">
        <v>148</v>
      </c>
      <c r="E14" t="n">
        <v>44</v>
      </c>
      <c r="F14" t="n">
        <v>0</v>
      </c>
      <c r="G14" t="n">
        <v>0</v>
      </c>
      <c r="H14" t="n">
        <v>0</v>
      </c>
      <c r="I14" t="n">
        <v>192</v>
      </c>
      <c r="J14" t="n">
        <v>0</v>
      </c>
      <c r="K14" t="n">
        <v>48</v>
      </c>
      <c r="L14" t="n">
        <v>0</v>
      </c>
      <c r="M14" t="n">
        <v>48</v>
      </c>
      <c r="N14" t="n">
        <v>1912.5</v>
      </c>
      <c r="P14" t="n">
        <v>108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192</v>
      </c>
      <c r="F15" t="n">
        <v>0</v>
      </c>
      <c r="G15" t="n">
        <v>0</v>
      </c>
      <c r="H15" t="n">
        <v>0</v>
      </c>
      <c r="I15" t="n">
        <v>192</v>
      </c>
      <c r="J15" t="n">
        <v>0</v>
      </c>
      <c r="K15" t="n">
        <v>48</v>
      </c>
      <c r="L15" t="n">
        <v>0</v>
      </c>
      <c r="M15" t="n">
        <v>48</v>
      </c>
      <c r="N15" t="n">
        <v>1960.5</v>
      </c>
      <c r="P15" t="n">
        <v>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180</v>
      </c>
      <c r="E16" t="n">
        <v>192</v>
      </c>
      <c r="F16" t="n">
        <v>0</v>
      </c>
      <c r="G16" t="n">
        <v>0</v>
      </c>
      <c r="H16" t="n">
        <v>0</v>
      </c>
      <c r="I16" t="n">
        <v>372</v>
      </c>
      <c r="J16" t="n">
        <v>0</v>
      </c>
      <c r="K16" t="n">
        <v>93</v>
      </c>
      <c r="L16" t="n">
        <v>0</v>
      </c>
      <c r="M16" t="n">
        <v>93</v>
      </c>
      <c r="N16" t="n">
        <v>2053.5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320</v>
      </c>
      <c r="E17" t="n">
        <v>372</v>
      </c>
      <c r="F17" t="n">
        <v>0</v>
      </c>
      <c r="G17" t="n">
        <v>0</v>
      </c>
      <c r="H17" t="n">
        <v>0</v>
      </c>
      <c r="I17" t="n">
        <v>692</v>
      </c>
      <c r="J17" t="n">
        <v>0</v>
      </c>
      <c r="K17" t="n">
        <v>173</v>
      </c>
      <c r="L17" t="n">
        <v>0</v>
      </c>
      <c r="M17" t="n">
        <v>173</v>
      </c>
      <c r="N17" t="n">
        <v>2226.5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180</v>
      </c>
      <c r="E18" t="n">
        <v>692</v>
      </c>
      <c r="F18" t="n">
        <v>0</v>
      </c>
      <c r="G18" t="n">
        <v>0</v>
      </c>
      <c r="H18" t="n">
        <v>0</v>
      </c>
      <c r="I18" t="n">
        <v>872</v>
      </c>
      <c r="J18" t="n">
        <v>0</v>
      </c>
      <c r="K18" t="n">
        <v>218</v>
      </c>
      <c r="L18" t="n">
        <v>0</v>
      </c>
      <c r="M18" t="n">
        <v>218</v>
      </c>
      <c r="N18" t="n">
        <v>2444.5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128</v>
      </c>
      <c r="E19" t="n">
        <v>872</v>
      </c>
      <c r="F19" t="n">
        <v>0</v>
      </c>
      <c r="G19" t="n">
        <v>0</v>
      </c>
      <c r="H19" t="n">
        <v>0</v>
      </c>
      <c r="I19" t="n">
        <v>1000</v>
      </c>
      <c r="J19" t="n">
        <v>0</v>
      </c>
      <c r="K19" t="n">
        <v>250</v>
      </c>
      <c r="L19" t="n">
        <v>0</v>
      </c>
      <c r="M19" t="n">
        <v>250</v>
      </c>
      <c r="N19" t="n">
        <v>2694.5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1000</v>
      </c>
      <c r="F20" t="n">
        <v>0</v>
      </c>
      <c r="G20" t="n">
        <v>0</v>
      </c>
      <c r="H20" t="n">
        <v>0</v>
      </c>
      <c r="I20" t="n">
        <v>1000</v>
      </c>
      <c r="J20" t="n">
        <v>0</v>
      </c>
      <c r="K20" t="n">
        <v>250</v>
      </c>
      <c r="L20" t="n">
        <v>0</v>
      </c>
      <c r="M20" t="n">
        <v>250</v>
      </c>
      <c r="N20" t="n">
        <v>2944.5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56</v>
      </c>
      <c r="C21" t="n">
        <v>56</v>
      </c>
      <c r="D21" t="n">
        <v>0</v>
      </c>
      <c r="E21" t="n">
        <v>1000</v>
      </c>
      <c r="F21" t="n">
        <v>0</v>
      </c>
      <c r="G21" t="n">
        <v>56</v>
      </c>
      <c r="H21" t="n">
        <v>56</v>
      </c>
      <c r="I21" t="n">
        <v>944</v>
      </c>
      <c r="J21" t="n">
        <v>0</v>
      </c>
      <c r="K21" t="n">
        <v>236</v>
      </c>
      <c r="L21" t="n">
        <v>0</v>
      </c>
      <c r="M21" t="n">
        <v>236</v>
      </c>
      <c r="N21" t="n">
        <v>3180.5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112</v>
      </c>
      <c r="C22" t="n">
        <v>112</v>
      </c>
      <c r="D22" t="n">
        <v>0</v>
      </c>
      <c r="E22" t="n">
        <v>944</v>
      </c>
      <c r="F22" t="n">
        <v>0</v>
      </c>
      <c r="G22" t="n">
        <v>112</v>
      </c>
      <c r="H22" t="n">
        <v>112</v>
      </c>
      <c r="I22" t="n">
        <v>832</v>
      </c>
      <c r="J22" t="n">
        <v>0</v>
      </c>
      <c r="K22" t="n">
        <v>208</v>
      </c>
      <c r="L22" t="n">
        <v>0</v>
      </c>
      <c r="M22" t="n">
        <v>208</v>
      </c>
      <c r="N22" t="n">
        <v>3388.5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224</v>
      </c>
      <c r="C23" t="n">
        <v>224</v>
      </c>
      <c r="D23" t="n">
        <v>0</v>
      </c>
      <c r="E23" t="n">
        <v>832</v>
      </c>
      <c r="F23" t="n">
        <v>0</v>
      </c>
      <c r="G23" t="n">
        <v>224</v>
      </c>
      <c r="H23" t="n">
        <v>224</v>
      </c>
      <c r="I23" t="n">
        <v>608</v>
      </c>
      <c r="J23" t="n">
        <v>0</v>
      </c>
      <c r="K23" t="n">
        <v>152</v>
      </c>
      <c r="L23" t="n">
        <v>0</v>
      </c>
      <c r="M23" t="n">
        <v>152</v>
      </c>
      <c r="N23" t="n">
        <v>3540.5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245</v>
      </c>
      <c r="C24" t="n">
        <v>245</v>
      </c>
      <c r="D24" t="n">
        <v>0</v>
      </c>
      <c r="E24" t="n">
        <v>608</v>
      </c>
      <c r="F24" t="n">
        <v>0</v>
      </c>
      <c r="G24" t="n">
        <v>245</v>
      </c>
      <c r="H24" t="n">
        <v>245</v>
      </c>
      <c r="I24" t="n">
        <v>363</v>
      </c>
      <c r="J24" t="n">
        <v>0</v>
      </c>
      <c r="K24" t="n">
        <v>90.75</v>
      </c>
      <c r="L24" t="n">
        <v>0</v>
      </c>
      <c r="M24" t="n">
        <v>90.75</v>
      </c>
      <c r="N24" t="n">
        <v>3631.25</v>
      </c>
      <c r="P24" t="n">
        <v>137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216</v>
      </c>
      <c r="C25" t="n">
        <v>216</v>
      </c>
      <c r="D25" t="n">
        <v>0</v>
      </c>
      <c r="E25" t="n">
        <v>363</v>
      </c>
      <c r="F25" t="n">
        <v>0</v>
      </c>
      <c r="G25" t="n">
        <v>216</v>
      </c>
      <c r="H25" t="n">
        <v>216</v>
      </c>
      <c r="I25" t="n">
        <v>147</v>
      </c>
      <c r="J25" t="n">
        <v>0</v>
      </c>
      <c r="K25" t="n">
        <v>36.75</v>
      </c>
      <c r="L25" t="n">
        <v>0</v>
      </c>
      <c r="M25" t="n">
        <v>36.75</v>
      </c>
      <c r="N25" t="n">
        <v>3668</v>
      </c>
      <c r="P25" t="n">
        <v>353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147</v>
      </c>
      <c r="F26" t="n">
        <v>0</v>
      </c>
      <c r="G26" t="n">
        <v>0</v>
      </c>
      <c r="H26" t="n">
        <v>0</v>
      </c>
      <c r="I26" t="n">
        <v>147</v>
      </c>
      <c r="J26" t="n">
        <v>0</v>
      </c>
      <c r="K26" t="n">
        <v>36.75</v>
      </c>
      <c r="L26" t="n">
        <v>0</v>
      </c>
      <c r="M26" t="n">
        <v>36.75</v>
      </c>
      <c r="N26" t="n">
        <v>3704.75</v>
      </c>
      <c r="P26" t="n">
        <v>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147</v>
      </c>
      <c r="F27" t="n">
        <v>0</v>
      </c>
      <c r="G27" t="n">
        <v>0</v>
      </c>
      <c r="H27" t="n">
        <v>0</v>
      </c>
      <c r="I27" t="n">
        <v>147</v>
      </c>
      <c r="J27" t="n">
        <v>0</v>
      </c>
      <c r="K27" t="n">
        <v>36.75</v>
      </c>
      <c r="L27" t="n">
        <v>0</v>
      </c>
      <c r="M27" t="n">
        <v>36.75</v>
      </c>
      <c r="N27" t="n">
        <v>3741.5</v>
      </c>
      <c r="P27" t="n">
        <v>216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137</v>
      </c>
      <c r="E28" t="n">
        <v>147</v>
      </c>
      <c r="F28" t="n">
        <v>0</v>
      </c>
      <c r="G28" t="n">
        <v>0</v>
      </c>
      <c r="H28" t="n">
        <v>0</v>
      </c>
      <c r="I28" t="n">
        <v>284</v>
      </c>
      <c r="J28" t="n">
        <v>0</v>
      </c>
      <c r="K28" t="n">
        <v>71</v>
      </c>
      <c r="L28" t="n">
        <v>0</v>
      </c>
      <c r="M28" t="n">
        <v>71</v>
      </c>
      <c r="N28" t="n">
        <v>3812.5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353</v>
      </c>
      <c r="E29" t="n">
        <v>284</v>
      </c>
      <c r="F29" t="n">
        <v>0</v>
      </c>
      <c r="G29" t="n">
        <v>0</v>
      </c>
      <c r="H29" t="n">
        <v>0</v>
      </c>
      <c r="I29" t="n">
        <v>637</v>
      </c>
      <c r="J29" t="n">
        <v>0</v>
      </c>
      <c r="K29" t="n">
        <v>159.25</v>
      </c>
      <c r="L29" t="n">
        <v>0</v>
      </c>
      <c r="M29" t="n">
        <v>159.25</v>
      </c>
      <c r="N29" t="n">
        <v>3971.75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253</v>
      </c>
      <c r="E30" t="n">
        <v>637</v>
      </c>
      <c r="F30" t="n">
        <v>0</v>
      </c>
      <c r="G30" t="n">
        <v>0</v>
      </c>
      <c r="H30" t="n">
        <v>0</v>
      </c>
      <c r="I30" t="n">
        <v>890</v>
      </c>
      <c r="J30" t="n">
        <v>0</v>
      </c>
      <c r="K30" t="n">
        <v>222.5</v>
      </c>
      <c r="L30" t="n">
        <v>0</v>
      </c>
      <c r="M30" t="n">
        <v>222.5</v>
      </c>
      <c r="N30" t="n">
        <v>4194.25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11</v>
      </c>
      <c r="C31" t="n">
        <v>11</v>
      </c>
      <c r="D31" t="n">
        <v>216</v>
      </c>
      <c r="E31" t="n">
        <v>890</v>
      </c>
      <c r="F31" t="n">
        <v>0</v>
      </c>
      <c r="G31" t="n">
        <v>11</v>
      </c>
      <c r="H31" t="n">
        <v>11</v>
      </c>
      <c r="I31" t="n">
        <v>1095</v>
      </c>
      <c r="J31" t="n">
        <v>0</v>
      </c>
      <c r="K31" t="n">
        <v>273.75</v>
      </c>
      <c r="L31" t="n">
        <v>0</v>
      </c>
      <c r="M31" t="n">
        <v>273.75</v>
      </c>
      <c r="N31" t="n">
        <v>4468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89</v>
      </c>
      <c r="C32" t="n">
        <v>89</v>
      </c>
      <c r="D32" t="n">
        <v>0</v>
      </c>
      <c r="E32" t="n">
        <v>1095</v>
      </c>
      <c r="F32" t="n">
        <v>0</v>
      </c>
      <c r="G32" t="n">
        <v>89</v>
      </c>
      <c r="H32" t="n">
        <v>89</v>
      </c>
      <c r="I32" t="n">
        <v>1006</v>
      </c>
      <c r="J32" t="n">
        <v>0</v>
      </c>
      <c r="K32" t="n">
        <v>251.5</v>
      </c>
      <c r="L32" t="n">
        <v>0</v>
      </c>
      <c r="M32" t="n">
        <v>251.5</v>
      </c>
      <c r="N32" t="n">
        <v>4719.5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171</v>
      </c>
      <c r="C33" t="n">
        <v>171</v>
      </c>
      <c r="D33" t="n">
        <v>0</v>
      </c>
      <c r="E33" t="n">
        <v>1006</v>
      </c>
      <c r="F33" t="n">
        <v>0</v>
      </c>
      <c r="G33" t="n">
        <v>171</v>
      </c>
      <c r="H33" t="n">
        <v>171</v>
      </c>
      <c r="I33" t="n">
        <v>835</v>
      </c>
      <c r="J33" t="n">
        <v>0</v>
      </c>
      <c r="K33" t="n">
        <v>208.75</v>
      </c>
      <c r="L33" t="n">
        <v>0</v>
      </c>
      <c r="M33" t="n">
        <v>208.75</v>
      </c>
      <c r="N33" t="n">
        <v>4928.25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231</v>
      </c>
      <c r="C34" t="n">
        <v>231</v>
      </c>
      <c r="D34" t="n">
        <v>0</v>
      </c>
      <c r="E34" t="n">
        <v>835</v>
      </c>
      <c r="F34" t="n">
        <v>0</v>
      </c>
      <c r="G34" t="n">
        <v>231</v>
      </c>
      <c r="H34" t="n">
        <v>231</v>
      </c>
      <c r="I34" t="n">
        <v>604</v>
      </c>
      <c r="J34" t="n">
        <v>0</v>
      </c>
      <c r="K34" t="n">
        <v>151</v>
      </c>
      <c r="L34" t="n">
        <v>0</v>
      </c>
      <c r="M34" t="n">
        <v>151</v>
      </c>
      <c r="N34" t="n">
        <v>5079.25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231</v>
      </c>
      <c r="C35" t="n">
        <v>231</v>
      </c>
      <c r="D35" t="n">
        <v>0</v>
      </c>
      <c r="E35" t="n">
        <v>604</v>
      </c>
      <c r="F35" t="n">
        <v>0</v>
      </c>
      <c r="G35" t="n">
        <v>231</v>
      </c>
      <c r="H35" t="n">
        <v>231</v>
      </c>
      <c r="I35" t="n">
        <v>373</v>
      </c>
      <c r="J35" t="n">
        <v>0</v>
      </c>
      <c r="K35" t="n">
        <v>93.25</v>
      </c>
      <c r="L35" t="n">
        <v>0</v>
      </c>
      <c r="M35" t="n">
        <v>93.25</v>
      </c>
      <c r="N35" t="n">
        <v>5172.5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134</v>
      </c>
      <c r="C36" t="n">
        <v>134</v>
      </c>
      <c r="D36" t="n">
        <v>0</v>
      </c>
      <c r="E36" t="n">
        <v>373</v>
      </c>
      <c r="F36" t="n">
        <v>0</v>
      </c>
      <c r="G36" t="n">
        <v>134</v>
      </c>
      <c r="H36" t="n">
        <v>134</v>
      </c>
      <c r="I36" t="n">
        <v>239</v>
      </c>
      <c r="J36" t="n">
        <v>0</v>
      </c>
      <c r="K36" t="n">
        <v>59.75</v>
      </c>
      <c r="L36" t="n">
        <v>0</v>
      </c>
      <c r="M36" t="n">
        <v>59.75</v>
      </c>
      <c r="N36" t="n">
        <v>5232.25</v>
      </c>
      <c r="P36" t="n">
        <v>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200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200</v>
      </c>
      <c r="F4" t="n">
        <v>0</v>
      </c>
      <c r="G4" t="n">
        <v>100</v>
      </c>
      <c r="H4" t="n">
        <v>100</v>
      </c>
      <c r="I4" t="n">
        <v>100</v>
      </c>
      <c r="J4" t="n">
        <v>0</v>
      </c>
      <c r="K4" t="n">
        <v>25</v>
      </c>
      <c r="L4" t="n">
        <v>0</v>
      </c>
      <c r="M4" t="n">
        <v>25</v>
      </c>
      <c r="N4" t="n">
        <v>112.5</v>
      </c>
      <c r="P4" t="n">
        <v>300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100</v>
      </c>
      <c r="F5" t="n">
        <v>0</v>
      </c>
      <c r="G5" t="n">
        <v>100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164</v>
      </c>
      <c r="C6" t="n">
        <v>164</v>
      </c>
      <c r="D6" t="n">
        <v>200</v>
      </c>
      <c r="E6" t="n">
        <v>0</v>
      </c>
      <c r="F6" t="n">
        <v>0</v>
      </c>
      <c r="G6" t="n">
        <v>164</v>
      </c>
      <c r="H6" t="n">
        <v>164</v>
      </c>
      <c r="I6" t="n">
        <v>36</v>
      </c>
      <c r="J6" t="n">
        <v>0</v>
      </c>
      <c r="K6" t="n">
        <v>9</v>
      </c>
      <c r="L6" t="n">
        <v>0</v>
      </c>
      <c r="M6" t="n">
        <v>9</v>
      </c>
      <c r="N6" t="n">
        <v>121.5</v>
      </c>
      <c r="P6" t="n">
        <v>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124</v>
      </c>
      <c r="C7" t="n">
        <v>124</v>
      </c>
      <c r="D7" t="n">
        <v>200</v>
      </c>
      <c r="E7" t="n">
        <v>36</v>
      </c>
      <c r="F7" t="n">
        <v>0</v>
      </c>
      <c r="G7" t="n">
        <v>124</v>
      </c>
      <c r="H7" t="n">
        <v>124</v>
      </c>
      <c r="I7" t="n">
        <v>112</v>
      </c>
      <c r="J7" t="n">
        <v>0</v>
      </c>
      <c r="K7" t="n">
        <v>28</v>
      </c>
      <c r="L7" t="n">
        <v>0</v>
      </c>
      <c r="M7" t="n">
        <v>28</v>
      </c>
      <c r="N7" t="n">
        <v>149.5</v>
      </c>
      <c r="P7" t="n">
        <v>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260</v>
      </c>
      <c r="C8" t="n">
        <v>260</v>
      </c>
      <c r="D8" t="n">
        <v>300</v>
      </c>
      <c r="E8" t="n">
        <v>112</v>
      </c>
      <c r="F8" t="n">
        <v>0</v>
      </c>
      <c r="G8" t="n">
        <v>260</v>
      </c>
      <c r="H8" t="n">
        <v>260</v>
      </c>
      <c r="I8" t="n">
        <v>152</v>
      </c>
      <c r="J8" t="n">
        <v>0</v>
      </c>
      <c r="K8" t="n">
        <v>38</v>
      </c>
      <c r="L8" t="n">
        <v>0</v>
      </c>
      <c r="M8" t="n">
        <v>38</v>
      </c>
      <c r="N8" t="n">
        <v>187.5</v>
      </c>
      <c r="P8" t="n">
        <v>148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356</v>
      </c>
      <c r="C9" t="n">
        <v>356</v>
      </c>
      <c r="D9" t="n">
        <v>200</v>
      </c>
      <c r="E9" t="n">
        <v>152</v>
      </c>
      <c r="F9" t="n">
        <v>0</v>
      </c>
      <c r="G9" t="n">
        <v>356</v>
      </c>
      <c r="H9" t="n">
        <v>352</v>
      </c>
      <c r="I9" t="n">
        <v>0</v>
      </c>
      <c r="J9" t="n">
        <v>4</v>
      </c>
      <c r="K9" t="n">
        <v>0</v>
      </c>
      <c r="L9" t="n">
        <v>4</v>
      </c>
      <c r="M9" t="n">
        <v>4</v>
      </c>
      <c r="N9" t="n">
        <v>191.5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428</v>
      </c>
      <c r="C10" t="n">
        <v>428</v>
      </c>
      <c r="D10" t="n">
        <v>300</v>
      </c>
      <c r="E10" t="n">
        <v>0</v>
      </c>
      <c r="F10" t="n">
        <v>4</v>
      </c>
      <c r="G10" t="n">
        <v>432</v>
      </c>
      <c r="H10" t="n">
        <v>300</v>
      </c>
      <c r="I10" t="n">
        <v>0</v>
      </c>
      <c r="J10" t="n">
        <v>132</v>
      </c>
      <c r="K10" t="n">
        <v>0</v>
      </c>
      <c r="L10" t="n">
        <v>132</v>
      </c>
      <c r="M10" t="n">
        <v>132</v>
      </c>
      <c r="N10" t="n">
        <v>323.5</v>
      </c>
      <c r="P10" t="n">
        <v>180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368</v>
      </c>
      <c r="C11" t="n">
        <v>368</v>
      </c>
      <c r="D11" t="n">
        <v>152</v>
      </c>
      <c r="E11" t="n">
        <v>0</v>
      </c>
      <c r="F11" t="n">
        <v>132</v>
      </c>
      <c r="G11" t="n">
        <v>500</v>
      </c>
      <c r="H11" t="n">
        <v>152</v>
      </c>
      <c r="I11" t="n">
        <v>0</v>
      </c>
      <c r="J11" t="n">
        <v>348</v>
      </c>
      <c r="K11" t="n">
        <v>0</v>
      </c>
      <c r="L11" t="n">
        <v>348</v>
      </c>
      <c r="M11" t="n">
        <v>348</v>
      </c>
      <c r="N11" t="n">
        <v>671.5</v>
      </c>
      <c r="P11" t="n">
        <v>400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184</v>
      </c>
      <c r="C12" t="n">
        <v>184</v>
      </c>
      <c r="D12" t="n">
        <v>148</v>
      </c>
      <c r="E12" t="n">
        <v>0</v>
      </c>
      <c r="F12" t="n">
        <v>348</v>
      </c>
      <c r="G12" t="n">
        <v>532</v>
      </c>
      <c r="H12" t="n">
        <v>148</v>
      </c>
      <c r="I12" t="n">
        <v>0</v>
      </c>
      <c r="J12" t="n">
        <v>384</v>
      </c>
      <c r="K12" t="n">
        <v>0</v>
      </c>
      <c r="L12" t="n">
        <v>384</v>
      </c>
      <c r="M12" t="n">
        <v>384</v>
      </c>
      <c r="N12" t="n">
        <v>1055.5</v>
      </c>
      <c r="P12" t="n">
        <v>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384</v>
      </c>
      <c r="G13" t="n">
        <v>384</v>
      </c>
      <c r="H13" t="n">
        <v>0</v>
      </c>
      <c r="I13" t="n">
        <v>0</v>
      </c>
      <c r="J13" t="n">
        <v>384</v>
      </c>
      <c r="K13" t="n">
        <v>0</v>
      </c>
      <c r="L13" t="n">
        <v>384</v>
      </c>
      <c r="M13" t="n">
        <v>384</v>
      </c>
      <c r="N13" t="n">
        <v>1439.5</v>
      </c>
      <c r="P13" t="n">
        <v>404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80</v>
      </c>
      <c r="C14" t="n">
        <v>80</v>
      </c>
      <c r="D14" t="n">
        <v>180</v>
      </c>
      <c r="E14" t="n">
        <v>0</v>
      </c>
      <c r="F14" t="n">
        <v>384</v>
      </c>
      <c r="G14" t="n">
        <v>464</v>
      </c>
      <c r="H14" t="n">
        <v>180</v>
      </c>
      <c r="I14" t="n">
        <v>0</v>
      </c>
      <c r="J14" t="n">
        <v>284</v>
      </c>
      <c r="K14" t="n">
        <v>0</v>
      </c>
      <c r="L14" t="n">
        <v>284</v>
      </c>
      <c r="M14" t="n">
        <v>284</v>
      </c>
      <c r="N14" t="n">
        <v>1723.5</v>
      </c>
      <c r="P14" t="n">
        <v>164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108</v>
      </c>
      <c r="C15" t="n">
        <v>108</v>
      </c>
      <c r="D15" t="n">
        <v>320</v>
      </c>
      <c r="E15" t="n">
        <v>0</v>
      </c>
      <c r="F15" t="n">
        <v>284</v>
      </c>
      <c r="G15" t="n">
        <v>392</v>
      </c>
      <c r="H15" t="n">
        <v>320</v>
      </c>
      <c r="I15" t="n">
        <v>0</v>
      </c>
      <c r="J15" t="n">
        <v>72</v>
      </c>
      <c r="K15" t="n">
        <v>0</v>
      </c>
      <c r="L15" t="n">
        <v>72</v>
      </c>
      <c r="M15" t="n">
        <v>72</v>
      </c>
      <c r="N15" t="n">
        <v>1795.5</v>
      </c>
      <c r="P15" t="n">
        <v>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108</v>
      </c>
      <c r="C16" t="n">
        <v>108</v>
      </c>
      <c r="D16" t="n">
        <v>180</v>
      </c>
      <c r="E16" t="n">
        <v>0</v>
      </c>
      <c r="F16" t="n">
        <v>72</v>
      </c>
      <c r="G16" t="n">
        <v>180</v>
      </c>
      <c r="H16" t="n">
        <v>180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1795.5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128</v>
      </c>
      <c r="C17" t="n">
        <v>128</v>
      </c>
      <c r="D17" t="n">
        <v>400</v>
      </c>
      <c r="E17" t="n">
        <v>0</v>
      </c>
      <c r="F17" t="n">
        <v>0</v>
      </c>
      <c r="G17" t="n">
        <v>128</v>
      </c>
      <c r="H17" t="n">
        <v>128</v>
      </c>
      <c r="I17" t="n">
        <v>272</v>
      </c>
      <c r="J17" t="n">
        <v>0</v>
      </c>
      <c r="K17" t="n">
        <v>68</v>
      </c>
      <c r="L17" t="n">
        <v>0</v>
      </c>
      <c r="M17" t="n">
        <v>68</v>
      </c>
      <c r="N17" t="n">
        <v>1863.5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584</v>
      </c>
      <c r="E18" t="n">
        <v>272</v>
      </c>
      <c r="F18" t="n">
        <v>0</v>
      </c>
      <c r="G18" t="n">
        <v>0</v>
      </c>
      <c r="H18" t="n">
        <v>0</v>
      </c>
      <c r="I18" t="n">
        <v>856</v>
      </c>
      <c r="J18" t="n">
        <v>0</v>
      </c>
      <c r="K18" t="n">
        <v>214</v>
      </c>
      <c r="L18" t="n">
        <v>0</v>
      </c>
      <c r="M18" t="n">
        <v>214</v>
      </c>
      <c r="N18" t="n">
        <v>2077.5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104</v>
      </c>
      <c r="E19" t="n">
        <v>856</v>
      </c>
      <c r="F19" t="n">
        <v>0</v>
      </c>
      <c r="G19" t="n">
        <v>0</v>
      </c>
      <c r="H19" t="n">
        <v>0</v>
      </c>
      <c r="I19" t="n">
        <v>960</v>
      </c>
      <c r="J19" t="n">
        <v>0</v>
      </c>
      <c r="K19" t="n">
        <v>240</v>
      </c>
      <c r="L19" t="n">
        <v>0</v>
      </c>
      <c r="M19" t="n">
        <v>240</v>
      </c>
      <c r="N19" t="n">
        <v>2317.5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56</v>
      </c>
      <c r="E20" t="n">
        <v>960</v>
      </c>
      <c r="F20" t="n">
        <v>0</v>
      </c>
      <c r="G20" t="n">
        <v>0</v>
      </c>
      <c r="H20" t="n">
        <v>0</v>
      </c>
      <c r="I20" t="n">
        <v>1016</v>
      </c>
      <c r="J20" t="n">
        <v>0</v>
      </c>
      <c r="K20" t="n">
        <v>254</v>
      </c>
      <c r="L20" t="n">
        <v>0</v>
      </c>
      <c r="M20" t="n">
        <v>254</v>
      </c>
      <c r="N20" t="n">
        <v>2571.5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1016</v>
      </c>
      <c r="F21" t="n">
        <v>0</v>
      </c>
      <c r="G21" t="n">
        <v>0</v>
      </c>
      <c r="H21" t="n">
        <v>0</v>
      </c>
      <c r="I21" t="n">
        <v>1016</v>
      </c>
      <c r="J21" t="n">
        <v>0</v>
      </c>
      <c r="K21" t="n">
        <v>254</v>
      </c>
      <c r="L21" t="n">
        <v>0</v>
      </c>
      <c r="M21" t="n">
        <v>254</v>
      </c>
      <c r="N21" t="n">
        <v>2825.5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1016</v>
      </c>
      <c r="F22" t="n">
        <v>0</v>
      </c>
      <c r="G22" t="n">
        <v>0</v>
      </c>
      <c r="H22" t="n">
        <v>0</v>
      </c>
      <c r="I22" t="n">
        <v>1016</v>
      </c>
      <c r="J22" t="n">
        <v>0</v>
      </c>
      <c r="K22" t="n">
        <v>254</v>
      </c>
      <c r="L22" t="n">
        <v>0</v>
      </c>
      <c r="M22" t="n">
        <v>254</v>
      </c>
      <c r="N22" t="n">
        <v>3079.5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1016</v>
      </c>
      <c r="F23" t="n">
        <v>0</v>
      </c>
      <c r="G23" t="n">
        <v>0</v>
      </c>
      <c r="H23" t="n">
        <v>0</v>
      </c>
      <c r="I23" t="n">
        <v>1016</v>
      </c>
      <c r="J23" t="n">
        <v>0</v>
      </c>
      <c r="K23" t="n">
        <v>254</v>
      </c>
      <c r="L23" t="n">
        <v>0</v>
      </c>
      <c r="M23" t="n">
        <v>254</v>
      </c>
      <c r="N23" t="n">
        <v>3333.5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1016</v>
      </c>
      <c r="F24" t="n">
        <v>0</v>
      </c>
      <c r="G24" t="n">
        <v>0</v>
      </c>
      <c r="H24" t="n">
        <v>0</v>
      </c>
      <c r="I24" t="n">
        <v>1016</v>
      </c>
      <c r="J24" t="n">
        <v>0</v>
      </c>
      <c r="K24" t="n">
        <v>254</v>
      </c>
      <c r="L24" t="n">
        <v>0</v>
      </c>
      <c r="M24" t="n">
        <v>254</v>
      </c>
      <c r="N24" t="n">
        <v>3587.5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1016</v>
      </c>
      <c r="F25" t="n">
        <v>0</v>
      </c>
      <c r="G25" t="n">
        <v>0</v>
      </c>
      <c r="H25" t="n">
        <v>0</v>
      </c>
      <c r="I25" t="n">
        <v>1016</v>
      </c>
      <c r="J25" t="n">
        <v>0</v>
      </c>
      <c r="K25" t="n">
        <v>254</v>
      </c>
      <c r="L25" t="n">
        <v>0</v>
      </c>
      <c r="M25" t="n">
        <v>254</v>
      </c>
      <c r="N25" t="n">
        <v>3841.5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137</v>
      </c>
      <c r="C26" t="n">
        <v>137</v>
      </c>
      <c r="D26" t="n">
        <v>0</v>
      </c>
      <c r="E26" t="n">
        <v>1016</v>
      </c>
      <c r="F26" t="n">
        <v>0</v>
      </c>
      <c r="G26" t="n">
        <v>137</v>
      </c>
      <c r="H26" t="n">
        <v>137</v>
      </c>
      <c r="I26" t="n">
        <v>879</v>
      </c>
      <c r="J26" t="n">
        <v>0</v>
      </c>
      <c r="K26" t="n">
        <v>219.75</v>
      </c>
      <c r="L26" t="n">
        <v>0</v>
      </c>
      <c r="M26" t="n">
        <v>219.75</v>
      </c>
      <c r="N26" t="n">
        <v>4061.25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353</v>
      </c>
      <c r="C27" t="n">
        <v>353</v>
      </c>
      <c r="D27" t="n">
        <v>0</v>
      </c>
      <c r="E27" t="n">
        <v>879</v>
      </c>
      <c r="F27" t="n">
        <v>0</v>
      </c>
      <c r="G27" t="n">
        <v>353</v>
      </c>
      <c r="H27" t="n">
        <v>353</v>
      </c>
      <c r="I27" t="n">
        <v>526</v>
      </c>
      <c r="J27" t="n">
        <v>0</v>
      </c>
      <c r="K27" t="n">
        <v>131.5</v>
      </c>
      <c r="L27" t="n">
        <v>0</v>
      </c>
      <c r="M27" t="n">
        <v>131.5</v>
      </c>
      <c r="N27" t="n">
        <v>4192.75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253</v>
      </c>
      <c r="C28" t="n">
        <v>253</v>
      </c>
      <c r="D28" t="n">
        <v>0</v>
      </c>
      <c r="E28" t="n">
        <v>526</v>
      </c>
      <c r="F28" t="n">
        <v>0</v>
      </c>
      <c r="G28" t="n">
        <v>253</v>
      </c>
      <c r="H28" t="n">
        <v>253</v>
      </c>
      <c r="I28" t="n">
        <v>273</v>
      </c>
      <c r="J28" t="n">
        <v>0</v>
      </c>
      <c r="K28" t="n">
        <v>68.25</v>
      </c>
      <c r="L28" t="n">
        <v>0</v>
      </c>
      <c r="M28" t="n">
        <v>68.25</v>
      </c>
      <c r="N28" t="n">
        <v>4261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216</v>
      </c>
      <c r="C29" t="n">
        <v>216</v>
      </c>
      <c r="D29" t="n">
        <v>0</v>
      </c>
      <c r="E29" t="n">
        <v>273</v>
      </c>
      <c r="F29" t="n">
        <v>0</v>
      </c>
      <c r="G29" t="n">
        <v>216</v>
      </c>
      <c r="H29" t="n">
        <v>216</v>
      </c>
      <c r="I29" t="n">
        <v>57</v>
      </c>
      <c r="J29" t="n">
        <v>0</v>
      </c>
      <c r="K29" t="n">
        <v>14.25</v>
      </c>
      <c r="L29" t="n">
        <v>0</v>
      </c>
      <c r="M29" t="n">
        <v>14.25</v>
      </c>
      <c r="N29" t="n">
        <v>4275.25</v>
      </c>
      <c r="P29" t="n">
        <v>143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57</v>
      </c>
      <c r="F30" t="n">
        <v>0</v>
      </c>
      <c r="G30" t="n">
        <v>0</v>
      </c>
      <c r="H30" t="n">
        <v>0</v>
      </c>
      <c r="I30" t="n">
        <v>57</v>
      </c>
      <c r="J30" t="n">
        <v>0</v>
      </c>
      <c r="K30" t="n">
        <v>14.25</v>
      </c>
      <c r="L30" t="n">
        <v>0</v>
      </c>
      <c r="M30" t="n">
        <v>14.25</v>
      </c>
      <c r="N30" t="n">
        <v>4289.5</v>
      </c>
      <c r="P30" t="n">
        <v>143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57</v>
      </c>
      <c r="F31" t="n">
        <v>0</v>
      </c>
      <c r="G31" t="n">
        <v>0</v>
      </c>
      <c r="H31" t="n">
        <v>0</v>
      </c>
      <c r="I31" t="n">
        <v>57</v>
      </c>
      <c r="J31" t="n">
        <v>0</v>
      </c>
      <c r="K31" t="n">
        <v>14.25</v>
      </c>
      <c r="L31" t="n">
        <v>0</v>
      </c>
      <c r="M31" t="n">
        <v>14.25</v>
      </c>
      <c r="N31" t="n">
        <v>4303.75</v>
      </c>
      <c r="P31" t="n">
        <v>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57</v>
      </c>
      <c r="F32" t="n">
        <v>0</v>
      </c>
      <c r="G32" t="n">
        <v>0</v>
      </c>
      <c r="H32" t="n">
        <v>0</v>
      </c>
      <c r="I32" t="n">
        <v>57</v>
      </c>
      <c r="J32" t="n">
        <v>0</v>
      </c>
      <c r="K32" t="n">
        <v>14.25</v>
      </c>
      <c r="L32" t="n">
        <v>0</v>
      </c>
      <c r="M32" t="n">
        <v>14.25</v>
      </c>
      <c r="N32" t="n">
        <v>4318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143</v>
      </c>
      <c r="E33" t="n">
        <v>57</v>
      </c>
      <c r="F33" t="n">
        <v>0</v>
      </c>
      <c r="G33" t="n">
        <v>0</v>
      </c>
      <c r="H33" t="n">
        <v>0</v>
      </c>
      <c r="I33" t="n">
        <v>200</v>
      </c>
      <c r="J33" t="n">
        <v>0</v>
      </c>
      <c r="K33" t="n">
        <v>50</v>
      </c>
      <c r="L33" t="n">
        <v>0</v>
      </c>
      <c r="M33" t="n">
        <v>50</v>
      </c>
      <c r="N33" t="n">
        <v>4368</v>
      </c>
      <c r="P33" t="n">
        <v>157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143</v>
      </c>
      <c r="E34" t="n">
        <v>200</v>
      </c>
      <c r="F34" t="n">
        <v>0</v>
      </c>
      <c r="G34" t="n">
        <v>0</v>
      </c>
      <c r="H34" t="n">
        <v>0</v>
      </c>
      <c r="I34" t="n">
        <v>343</v>
      </c>
      <c r="J34" t="n">
        <v>0</v>
      </c>
      <c r="K34" t="n">
        <v>85.75</v>
      </c>
      <c r="L34" t="n">
        <v>0</v>
      </c>
      <c r="M34" t="n">
        <v>85.75</v>
      </c>
      <c r="N34" t="n">
        <v>4453.75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143</v>
      </c>
      <c r="E35" t="n">
        <v>343</v>
      </c>
      <c r="F35" t="n">
        <v>0</v>
      </c>
      <c r="G35" t="n">
        <v>0</v>
      </c>
      <c r="H35" t="n">
        <v>0</v>
      </c>
      <c r="I35" t="n">
        <v>486</v>
      </c>
      <c r="J35" t="n">
        <v>0</v>
      </c>
      <c r="K35" t="n">
        <v>121.5</v>
      </c>
      <c r="L35" t="n">
        <v>0</v>
      </c>
      <c r="M35" t="n">
        <v>121.5</v>
      </c>
      <c r="N35" t="n">
        <v>4575.25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486</v>
      </c>
      <c r="F36" t="n">
        <v>0</v>
      </c>
      <c r="G36" t="n">
        <v>0</v>
      </c>
      <c r="H36" t="n">
        <v>0</v>
      </c>
      <c r="I36" t="n">
        <v>486</v>
      </c>
      <c r="J36" t="n">
        <v>0</v>
      </c>
      <c r="K36" t="n">
        <v>121.5</v>
      </c>
      <c r="L36" t="n">
        <v>0</v>
      </c>
      <c r="M36" t="n">
        <v>121.5</v>
      </c>
      <c r="N36" t="n">
        <v>4696.75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300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200</v>
      </c>
      <c r="C4" t="n">
        <v>200</v>
      </c>
      <c r="D4" t="n">
        <v>300</v>
      </c>
      <c r="E4" t="n">
        <v>200</v>
      </c>
      <c r="F4" t="n">
        <v>0</v>
      </c>
      <c r="G4" t="n">
        <v>200</v>
      </c>
      <c r="H4" t="n">
        <v>200</v>
      </c>
      <c r="I4" t="n">
        <v>300</v>
      </c>
      <c r="J4" t="n">
        <v>0</v>
      </c>
      <c r="K4" t="n">
        <v>75</v>
      </c>
      <c r="L4" t="n">
        <v>0</v>
      </c>
      <c r="M4" t="n">
        <v>75</v>
      </c>
      <c r="N4" t="n">
        <v>162.5</v>
      </c>
      <c r="P4" t="n">
        <v>200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200</v>
      </c>
      <c r="C5" t="n">
        <v>200</v>
      </c>
      <c r="D5" t="n">
        <v>0</v>
      </c>
      <c r="E5" t="n">
        <v>300</v>
      </c>
      <c r="F5" t="n">
        <v>0</v>
      </c>
      <c r="G5" t="n">
        <v>200</v>
      </c>
      <c r="H5" t="n">
        <v>200</v>
      </c>
      <c r="I5" t="n">
        <v>100</v>
      </c>
      <c r="J5" t="n">
        <v>0</v>
      </c>
      <c r="K5" t="n">
        <v>25</v>
      </c>
      <c r="L5" t="n">
        <v>0</v>
      </c>
      <c r="M5" t="n">
        <v>25</v>
      </c>
      <c r="N5" t="n">
        <v>187.5</v>
      </c>
      <c r="P5" t="n">
        <v>200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300</v>
      </c>
      <c r="C6" t="n">
        <v>300</v>
      </c>
      <c r="D6" t="n">
        <v>200</v>
      </c>
      <c r="E6" t="n">
        <v>100</v>
      </c>
      <c r="F6" t="n">
        <v>0</v>
      </c>
      <c r="G6" t="n">
        <v>300</v>
      </c>
      <c r="H6" t="n">
        <v>300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187.5</v>
      </c>
      <c r="P6" t="n">
        <v>300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200</v>
      </c>
      <c r="E7" t="n">
        <v>0</v>
      </c>
      <c r="F7" t="n">
        <v>0</v>
      </c>
      <c r="G7" t="n">
        <v>300</v>
      </c>
      <c r="H7" t="n">
        <v>200</v>
      </c>
      <c r="I7" t="n">
        <v>0</v>
      </c>
      <c r="J7" t="n">
        <v>100</v>
      </c>
      <c r="K7" t="n">
        <v>0</v>
      </c>
      <c r="L7" t="n">
        <v>100</v>
      </c>
      <c r="M7" t="n">
        <v>100</v>
      </c>
      <c r="N7" t="n">
        <v>287.5</v>
      </c>
      <c r="P7" t="n">
        <v>200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264</v>
      </c>
      <c r="C8" t="n">
        <v>264</v>
      </c>
      <c r="D8" t="n">
        <v>300</v>
      </c>
      <c r="E8" t="n">
        <v>0</v>
      </c>
      <c r="F8" t="n">
        <v>100</v>
      </c>
      <c r="G8" t="n">
        <v>364</v>
      </c>
      <c r="H8" t="n">
        <v>300</v>
      </c>
      <c r="I8" t="n">
        <v>0</v>
      </c>
      <c r="J8" t="n">
        <v>64</v>
      </c>
      <c r="K8" t="n">
        <v>0</v>
      </c>
      <c r="L8" t="n">
        <v>64</v>
      </c>
      <c r="M8" t="n">
        <v>64</v>
      </c>
      <c r="N8" t="n">
        <v>351.5</v>
      </c>
      <c r="P8" t="n">
        <v>364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88</v>
      </c>
      <c r="C9" t="n">
        <v>88</v>
      </c>
      <c r="D9" t="n">
        <v>200</v>
      </c>
      <c r="E9" t="n">
        <v>0</v>
      </c>
      <c r="F9" t="n">
        <v>64</v>
      </c>
      <c r="G9" t="n">
        <v>152</v>
      </c>
      <c r="H9" t="n">
        <v>152</v>
      </c>
      <c r="I9" t="n">
        <v>48</v>
      </c>
      <c r="J9" t="n">
        <v>0</v>
      </c>
      <c r="K9" t="n">
        <v>12</v>
      </c>
      <c r="L9" t="n">
        <v>0</v>
      </c>
      <c r="M9" t="n">
        <v>12</v>
      </c>
      <c r="N9" t="n">
        <v>363.5</v>
      </c>
      <c r="P9" t="n">
        <v>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148</v>
      </c>
      <c r="C10" t="n">
        <v>148</v>
      </c>
      <c r="D10" t="n">
        <v>364</v>
      </c>
      <c r="E10" t="n">
        <v>48</v>
      </c>
      <c r="F10" t="n">
        <v>0</v>
      </c>
      <c r="G10" t="n">
        <v>148</v>
      </c>
      <c r="H10" t="n">
        <v>148</v>
      </c>
      <c r="I10" t="n">
        <v>264</v>
      </c>
      <c r="J10" t="n">
        <v>0</v>
      </c>
      <c r="K10" t="n">
        <v>66</v>
      </c>
      <c r="L10" t="n">
        <v>0</v>
      </c>
      <c r="M10" t="n">
        <v>66</v>
      </c>
      <c r="N10" t="n">
        <v>429.5</v>
      </c>
      <c r="P10" t="n">
        <v>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0</v>
      </c>
      <c r="C11" t="n">
        <v>0</v>
      </c>
      <c r="D11" t="n">
        <v>88</v>
      </c>
      <c r="E11" t="n">
        <v>264</v>
      </c>
      <c r="F11" t="n">
        <v>0</v>
      </c>
      <c r="G11" t="n">
        <v>0</v>
      </c>
      <c r="H11" t="n">
        <v>0</v>
      </c>
      <c r="I11" t="n">
        <v>352</v>
      </c>
      <c r="J11" t="n">
        <v>0</v>
      </c>
      <c r="K11" t="n">
        <v>88</v>
      </c>
      <c r="L11" t="n">
        <v>0</v>
      </c>
      <c r="M11" t="n">
        <v>88</v>
      </c>
      <c r="N11" t="n">
        <v>517.5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180</v>
      </c>
      <c r="C12" t="n">
        <v>180</v>
      </c>
      <c r="D12" t="n">
        <v>148</v>
      </c>
      <c r="E12" t="n">
        <v>352</v>
      </c>
      <c r="F12" t="n">
        <v>0</v>
      </c>
      <c r="G12" t="n">
        <v>180</v>
      </c>
      <c r="H12" t="n">
        <v>180</v>
      </c>
      <c r="I12" t="n">
        <v>320</v>
      </c>
      <c r="J12" t="n">
        <v>0</v>
      </c>
      <c r="K12" t="n">
        <v>80</v>
      </c>
      <c r="L12" t="n">
        <v>0</v>
      </c>
      <c r="M12" t="n">
        <v>80</v>
      </c>
      <c r="N12" t="n">
        <v>597.5</v>
      </c>
      <c r="P12" t="n">
        <v>180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400</v>
      </c>
      <c r="C13" t="n">
        <v>400</v>
      </c>
      <c r="D13" t="n">
        <v>0</v>
      </c>
      <c r="E13" t="n">
        <v>320</v>
      </c>
      <c r="F13" t="n">
        <v>0</v>
      </c>
      <c r="G13" t="n">
        <v>400</v>
      </c>
      <c r="H13" t="n">
        <v>320</v>
      </c>
      <c r="I13" t="n">
        <v>0</v>
      </c>
      <c r="J13" t="n">
        <v>80</v>
      </c>
      <c r="K13" t="n">
        <v>0</v>
      </c>
      <c r="L13" t="n">
        <v>80</v>
      </c>
      <c r="M13" t="n">
        <v>80</v>
      </c>
      <c r="N13" t="n">
        <v>677.5</v>
      </c>
      <c r="P13" t="n">
        <v>400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584</v>
      </c>
      <c r="C14" t="n">
        <v>584</v>
      </c>
      <c r="D14" t="n">
        <v>180</v>
      </c>
      <c r="E14" t="n">
        <v>0</v>
      </c>
      <c r="F14" t="n">
        <v>80</v>
      </c>
      <c r="G14" t="n">
        <v>664</v>
      </c>
      <c r="H14" t="n">
        <v>180</v>
      </c>
      <c r="I14" t="n">
        <v>0</v>
      </c>
      <c r="J14" t="n">
        <v>484</v>
      </c>
      <c r="K14" t="n">
        <v>0</v>
      </c>
      <c r="L14" t="n">
        <v>484</v>
      </c>
      <c r="M14" t="n">
        <v>484</v>
      </c>
      <c r="N14" t="n">
        <v>1161.5</v>
      </c>
      <c r="P14" t="n">
        <v>584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404</v>
      </c>
      <c r="C15" t="n">
        <v>404</v>
      </c>
      <c r="D15" t="n">
        <v>400</v>
      </c>
      <c r="E15" t="n">
        <v>0</v>
      </c>
      <c r="F15" t="n">
        <v>484</v>
      </c>
      <c r="G15" t="n">
        <v>888</v>
      </c>
      <c r="H15" t="n">
        <v>400</v>
      </c>
      <c r="I15" t="n">
        <v>0</v>
      </c>
      <c r="J15" t="n">
        <v>488</v>
      </c>
      <c r="K15" t="n">
        <v>0</v>
      </c>
      <c r="L15" t="n">
        <v>488</v>
      </c>
      <c r="M15" t="n">
        <v>488</v>
      </c>
      <c r="N15" t="n">
        <v>1649.5</v>
      </c>
      <c r="P15" t="n">
        <v>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164</v>
      </c>
      <c r="C16" t="n">
        <v>164</v>
      </c>
      <c r="D16" t="n">
        <v>584</v>
      </c>
      <c r="E16" t="n">
        <v>0</v>
      </c>
      <c r="F16" t="n">
        <v>488</v>
      </c>
      <c r="G16" t="n">
        <v>652</v>
      </c>
      <c r="H16" t="n">
        <v>584</v>
      </c>
      <c r="I16" t="n">
        <v>0</v>
      </c>
      <c r="J16" t="n">
        <v>68</v>
      </c>
      <c r="K16" t="n">
        <v>0</v>
      </c>
      <c r="L16" t="n">
        <v>68</v>
      </c>
      <c r="M16" t="n">
        <v>68</v>
      </c>
      <c r="N16" t="n">
        <v>1717.5</v>
      </c>
      <c r="P16" t="n">
        <v>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92</v>
      </c>
      <c r="C17" t="n">
        <v>92</v>
      </c>
      <c r="D17" t="n">
        <v>104</v>
      </c>
      <c r="E17" t="n">
        <v>0</v>
      </c>
      <c r="F17" t="n">
        <v>68</v>
      </c>
      <c r="G17" t="n">
        <v>160</v>
      </c>
      <c r="H17" t="n">
        <v>104</v>
      </c>
      <c r="I17" t="n">
        <v>0</v>
      </c>
      <c r="J17" t="n">
        <v>56</v>
      </c>
      <c r="K17" t="n">
        <v>0</v>
      </c>
      <c r="L17" t="n">
        <v>56</v>
      </c>
      <c r="M17" t="n">
        <v>56</v>
      </c>
      <c r="N17" t="n">
        <v>1773.5</v>
      </c>
      <c r="P17" t="n">
        <v>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164</v>
      </c>
      <c r="E18" t="n">
        <v>0</v>
      </c>
      <c r="F18" t="n">
        <v>56</v>
      </c>
      <c r="G18" t="n">
        <v>56</v>
      </c>
      <c r="H18" t="n">
        <v>56</v>
      </c>
      <c r="I18" t="n">
        <v>108</v>
      </c>
      <c r="J18" t="n">
        <v>0</v>
      </c>
      <c r="K18" t="n">
        <v>27</v>
      </c>
      <c r="L18" t="n">
        <v>0</v>
      </c>
      <c r="M18" t="n">
        <v>27</v>
      </c>
      <c r="N18" t="n">
        <v>1800.5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92</v>
      </c>
      <c r="E19" t="n">
        <v>108</v>
      </c>
      <c r="F19" t="n">
        <v>0</v>
      </c>
      <c r="G19" t="n">
        <v>0</v>
      </c>
      <c r="H19" t="n">
        <v>0</v>
      </c>
      <c r="I19" t="n">
        <v>200</v>
      </c>
      <c r="J19" t="n">
        <v>0</v>
      </c>
      <c r="K19" t="n">
        <v>50</v>
      </c>
      <c r="L19" t="n">
        <v>0</v>
      </c>
      <c r="M19" t="n">
        <v>50</v>
      </c>
      <c r="N19" t="n">
        <v>1850.5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200</v>
      </c>
      <c r="F20" t="n">
        <v>0</v>
      </c>
      <c r="G20" t="n">
        <v>0</v>
      </c>
      <c r="H20" t="n">
        <v>0</v>
      </c>
      <c r="I20" t="n">
        <v>200</v>
      </c>
      <c r="J20" t="n">
        <v>0</v>
      </c>
      <c r="K20" t="n">
        <v>50</v>
      </c>
      <c r="L20" t="n">
        <v>0</v>
      </c>
      <c r="M20" t="n">
        <v>50</v>
      </c>
      <c r="N20" t="n">
        <v>1900.5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200</v>
      </c>
      <c r="F21" t="n">
        <v>0</v>
      </c>
      <c r="G21" t="n">
        <v>0</v>
      </c>
      <c r="H21" t="n">
        <v>0</v>
      </c>
      <c r="I21" t="n">
        <v>200</v>
      </c>
      <c r="J21" t="n">
        <v>0</v>
      </c>
      <c r="K21" t="n">
        <v>50</v>
      </c>
      <c r="L21" t="n">
        <v>0</v>
      </c>
      <c r="M21" t="n">
        <v>50</v>
      </c>
      <c r="N21" t="n">
        <v>1950.5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200</v>
      </c>
      <c r="F22" t="n">
        <v>0</v>
      </c>
      <c r="G22" t="n">
        <v>0</v>
      </c>
      <c r="H22" t="n">
        <v>0</v>
      </c>
      <c r="I22" t="n">
        <v>200</v>
      </c>
      <c r="J22" t="n">
        <v>0</v>
      </c>
      <c r="K22" t="n">
        <v>50</v>
      </c>
      <c r="L22" t="n">
        <v>0</v>
      </c>
      <c r="M22" t="n">
        <v>50</v>
      </c>
      <c r="N22" t="n">
        <v>2000.5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200</v>
      </c>
      <c r="F23" t="n">
        <v>0</v>
      </c>
      <c r="G23" t="n">
        <v>0</v>
      </c>
      <c r="H23" t="n">
        <v>0</v>
      </c>
      <c r="I23" t="n">
        <v>200</v>
      </c>
      <c r="J23" t="n">
        <v>0</v>
      </c>
      <c r="K23" t="n">
        <v>50</v>
      </c>
      <c r="L23" t="n">
        <v>0</v>
      </c>
      <c r="M23" t="n">
        <v>50</v>
      </c>
      <c r="N23" t="n">
        <v>2050.5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200</v>
      </c>
      <c r="F24" t="n">
        <v>0</v>
      </c>
      <c r="G24" t="n">
        <v>0</v>
      </c>
      <c r="H24" t="n">
        <v>0</v>
      </c>
      <c r="I24" t="n">
        <v>200</v>
      </c>
      <c r="J24" t="n">
        <v>0</v>
      </c>
      <c r="K24" t="n">
        <v>50</v>
      </c>
      <c r="L24" t="n">
        <v>0</v>
      </c>
      <c r="M24" t="n">
        <v>50</v>
      </c>
      <c r="N24" t="n">
        <v>2100.5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200</v>
      </c>
      <c r="F25" t="n">
        <v>0</v>
      </c>
      <c r="G25" t="n">
        <v>0</v>
      </c>
      <c r="H25" t="n">
        <v>0</v>
      </c>
      <c r="I25" t="n">
        <v>200</v>
      </c>
      <c r="J25" t="n">
        <v>0</v>
      </c>
      <c r="K25" t="n">
        <v>50</v>
      </c>
      <c r="L25" t="n">
        <v>0</v>
      </c>
      <c r="M25" t="n">
        <v>50</v>
      </c>
      <c r="N25" t="n">
        <v>2150.5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200</v>
      </c>
      <c r="F26" t="n">
        <v>0</v>
      </c>
      <c r="G26" t="n">
        <v>0</v>
      </c>
      <c r="H26" t="n">
        <v>0</v>
      </c>
      <c r="I26" t="n">
        <v>200</v>
      </c>
      <c r="J26" t="n">
        <v>0</v>
      </c>
      <c r="K26" t="n">
        <v>50</v>
      </c>
      <c r="L26" t="n">
        <v>0</v>
      </c>
      <c r="M26" t="n">
        <v>50</v>
      </c>
      <c r="N26" t="n">
        <v>2200.5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200</v>
      </c>
      <c r="F27" t="n">
        <v>0</v>
      </c>
      <c r="G27" t="n">
        <v>0</v>
      </c>
      <c r="H27" t="n">
        <v>0</v>
      </c>
      <c r="I27" t="n">
        <v>200</v>
      </c>
      <c r="J27" t="n">
        <v>0</v>
      </c>
      <c r="K27" t="n">
        <v>50</v>
      </c>
      <c r="L27" t="n">
        <v>0</v>
      </c>
      <c r="M27" t="n">
        <v>50</v>
      </c>
      <c r="N27" t="n">
        <v>2250.5</v>
      </c>
      <c r="P27" t="n">
        <v>100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200</v>
      </c>
      <c r="F28" t="n">
        <v>0</v>
      </c>
      <c r="G28" t="n">
        <v>0</v>
      </c>
      <c r="H28" t="n">
        <v>0</v>
      </c>
      <c r="I28" t="n">
        <v>200</v>
      </c>
      <c r="J28" t="n">
        <v>0</v>
      </c>
      <c r="K28" t="n">
        <v>50</v>
      </c>
      <c r="L28" t="n">
        <v>0</v>
      </c>
      <c r="M28" t="n">
        <v>50</v>
      </c>
      <c r="N28" t="n">
        <v>2300.5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100</v>
      </c>
      <c r="E29" t="n">
        <v>200</v>
      </c>
      <c r="F29" t="n">
        <v>0</v>
      </c>
      <c r="G29" t="n">
        <v>0</v>
      </c>
      <c r="H29" t="n">
        <v>0</v>
      </c>
      <c r="I29" t="n">
        <v>300</v>
      </c>
      <c r="J29" t="n">
        <v>0</v>
      </c>
      <c r="K29" t="n">
        <v>75</v>
      </c>
      <c r="L29" t="n">
        <v>0</v>
      </c>
      <c r="M29" t="n">
        <v>75</v>
      </c>
      <c r="N29" t="n">
        <v>2375.5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300</v>
      </c>
      <c r="F30" t="n">
        <v>0</v>
      </c>
      <c r="G30" t="n">
        <v>0</v>
      </c>
      <c r="H30" t="n">
        <v>0</v>
      </c>
      <c r="I30" t="n">
        <v>300</v>
      </c>
      <c r="J30" t="n">
        <v>0</v>
      </c>
      <c r="K30" t="n">
        <v>75</v>
      </c>
      <c r="L30" t="n">
        <v>0</v>
      </c>
      <c r="M30" t="n">
        <v>75</v>
      </c>
      <c r="N30" t="n">
        <v>2450.5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143</v>
      </c>
      <c r="C31" t="n">
        <v>143</v>
      </c>
      <c r="D31" t="n">
        <v>0</v>
      </c>
      <c r="E31" t="n">
        <v>300</v>
      </c>
      <c r="F31" t="n">
        <v>0</v>
      </c>
      <c r="G31" t="n">
        <v>143</v>
      </c>
      <c r="H31" t="n">
        <v>143</v>
      </c>
      <c r="I31" t="n">
        <v>157</v>
      </c>
      <c r="J31" t="n">
        <v>0</v>
      </c>
      <c r="K31" t="n">
        <v>39.25</v>
      </c>
      <c r="L31" t="n">
        <v>0</v>
      </c>
      <c r="M31" t="n">
        <v>39.25</v>
      </c>
      <c r="N31" t="n">
        <v>2489.75</v>
      </c>
      <c r="P31" t="n">
        <v>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143</v>
      </c>
      <c r="C32" t="n">
        <v>143</v>
      </c>
      <c r="D32" t="n">
        <v>0</v>
      </c>
      <c r="E32" t="n">
        <v>157</v>
      </c>
      <c r="F32" t="n">
        <v>0</v>
      </c>
      <c r="G32" t="n">
        <v>143</v>
      </c>
      <c r="H32" t="n">
        <v>143</v>
      </c>
      <c r="I32" t="n">
        <v>14</v>
      </c>
      <c r="J32" t="n">
        <v>0</v>
      </c>
      <c r="K32" t="n">
        <v>3.5</v>
      </c>
      <c r="L32" t="n">
        <v>0</v>
      </c>
      <c r="M32" t="n">
        <v>3.5</v>
      </c>
      <c r="N32" t="n">
        <v>2493.25</v>
      </c>
      <c r="P32" t="n">
        <v>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143</v>
      </c>
      <c r="C33" t="n">
        <v>143</v>
      </c>
      <c r="D33" t="n">
        <v>143</v>
      </c>
      <c r="E33" t="n">
        <v>14</v>
      </c>
      <c r="F33" t="n">
        <v>0</v>
      </c>
      <c r="G33" t="n">
        <v>143</v>
      </c>
      <c r="H33" t="n">
        <v>143</v>
      </c>
      <c r="I33" t="n">
        <v>14</v>
      </c>
      <c r="J33" t="n">
        <v>0</v>
      </c>
      <c r="K33" t="n">
        <v>3.5</v>
      </c>
      <c r="L33" t="n">
        <v>0</v>
      </c>
      <c r="M33" t="n">
        <v>3.5</v>
      </c>
      <c r="N33" t="n">
        <v>2496.75</v>
      </c>
      <c r="P33" t="n">
        <v>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43</v>
      </c>
      <c r="E34" t="n">
        <v>14</v>
      </c>
      <c r="F34" t="n">
        <v>0</v>
      </c>
      <c r="G34" t="n">
        <v>0</v>
      </c>
      <c r="H34" t="n">
        <v>0</v>
      </c>
      <c r="I34" t="n">
        <v>57</v>
      </c>
      <c r="J34" t="n">
        <v>0</v>
      </c>
      <c r="K34" t="n">
        <v>14.25</v>
      </c>
      <c r="L34" t="n">
        <v>0</v>
      </c>
      <c r="M34" t="n">
        <v>14.25</v>
      </c>
      <c r="N34" t="n">
        <v>2511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157</v>
      </c>
      <c r="C35" t="n">
        <v>157</v>
      </c>
      <c r="D35" t="n">
        <v>143</v>
      </c>
      <c r="E35" t="n">
        <v>57</v>
      </c>
      <c r="F35" t="n">
        <v>0</v>
      </c>
      <c r="G35" t="n">
        <v>157</v>
      </c>
      <c r="H35" t="n">
        <v>157</v>
      </c>
      <c r="I35" t="n">
        <v>43</v>
      </c>
      <c r="J35" t="n">
        <v>0</v>
      </c>
      <c r="K35" t="n">
        <v>10.75</v>
      </c>
      <c r="L35" t="n">
        <v>0</v>
      </c>
      <c r="M35" t="n">
        <v>10.75</v>
      </c>
      <c r="N35" t="n">
        <v>2521.75</v>
      </c>
      <c r="P35" t="n">
        <v>457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43</v>
      </c>
      <c r="F36" t="n">
        <v>0</v>
      </c>
      <c r="G36" t="n">
        <v>0</v>
      </c>
      <c r="H36" t="n">
        <v>0</v>
      </c>
      <c r="I36" t="n">
        <v>43</v>
      </c>
      <c r="J36" t="n">
        <v>0</v>
      </c>
      <c r="K36" t="n">
        <v>10.75</v>
      </c>
      <c r="L36" t="n">
        <v>0</v>
      </c>
      <c r="M36" t="n">
        <v>10.75</v>
      </c>
      <c r="N36" t="n">
        <v>2532.5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100</v>
      </c>
      <c r="C2" t="n">
        <v>100</v>
      </c>
      <c r="D2" t="n">
        <v>50</v>
      </c>
      <c r="E2" t="n">
        <v>100</v>
      </c>
      <c r="F2" t="n">
        <v>0</v>
      </c>
      <c r="G2" t="n">
        <v>100</v>
      </c>
      <c r="H2" t="n">
        <v>100</v>
      </c>
      <c r="I2" t="n">
        <v>50</v>
      </c>
      <c r="J2" t="n">
        <v>0</v>
      </c>
      <c r="K2" t="n">
        <v>12.5</v>
      </c>
      <c r="L2" t="n">
        <v>0</v>
      </c>
      <c r="M2" t="n">
        <v>12.5</v>
      </c>
      <c r="N2" t="n">
        <v>12.5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100</v>
      </c>
      <c r="C3" t="n">
        <v>100</v>
      </c>
      <c r="D3" t="n">
        <v>50</v>
      </c>
      <c r="E3" t="n">
        <v>50</v>
      </c>
      <c r="F3" t="n">
        <v>0</v>
      </c>
      <c r="G3" t="n">
        <v>100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12.5</v>
      </c>
      <c r="P3" t="n">
        <v>200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0</v>
      </c>
      <c r="F4" t="n">
        <v>0</v>
      </c>
      <c r="G4" t="n">
        <v>100</v>
      </c>
      <c r="H4" t="n">
        <v>0</v>
      </c>
      <c r="I4" t="n">
        <v>0</v>
      </c>
      <c r="J4" t="n">
        <v>100</v>
      </c>
      <c r="K4" t="n">
        <v>0</v>
      </c>
      <c r="L4" t="n">
        <v>100</v>
      </c>
      <c r="M4" t="n">
        <v>100</v>
      </c>
      <c r="N4" t="n">
        <v>112.5</v>
      </c>
      <c r="P4" t="n">
        <v>300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0</v>
      </c>
      <c r="F5" t="n">
        <v>100</v>
      </c>
      <c r="G5" t="n">
        <v>200</v>
      </c>
      <c r="H5" t="n">
        <v>0</v>
      </c>
      <c r="I5" t="n">
        <v>0</v>
      </c>
      <c r="J5" t="n">
        <v>200</v>
      </c>
      <c r="K5" t="n">
        <v>0</v>
      </c>
      <c r="L5" t="n">
        <v>200</v>
      </c>
      <c r="M5" t="n">
        <v>200</v>
      </c>
      <c r="N5" t="n">
        <v>312.5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100</v>
      </c>
      <c r="C6" t="n">
        <v>100</v>
      </c>
      <c r="D6" t="n">
        <v>100</v>
      </c>
      <c r="E6" t="n">
        <v>0</v>
      </c>
      <c r="F6" t="n">
        <v>200</v>
      </c>
      <c r="G6" t="n">
        <v>300</v>
      </c>
      <c r="H6" t="n">
        <v>100</v>
      </c>
      <c r="I6" t="n">
        <v>0</v>
      </c>
      <c r="J6" t="n">
        <v>200</v>
      </c>
      <c r="K6" t="n">
        <v>0</v>
      </c>
      <c r="L6" t="n">
        <v>200</v>
      </c>
      <c r="M6" t="n">
        <v>200</v>
      </c>
      <c r="N6" t="n">
        <v>512.5</v>
      </c>
      <c r="P6" t="n">
        <v>300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100</v>
      </c>
      <c r="C7" t="n">
        <v>100</v>
      </c>
      <c r="D7" t="n">
        <v>100</v>
      </c>
      <c r="E7" t="n">
        <v>0</v>
      </c>
      <c r="F7" t="n">
        <v>200</v>
      </c>
      <c r="G7" t="n">
        <v>300</v>
      </c>
      <c r="H7" t="n">
        <v>100</v>
      </c>
      <c r="I7" t="n">
        <v>0</v>
      </c>
      <c r="J7" t="n">
        <v>200</v>
      </c>
      <c r="K7" t="n">
        <v>0</v>
      </c>
      <c r="L7" t="n">
        <v>200</v>
      </c>
      <c r="M7" t="n">
        <v>200</v>
      </c>
      <c r="N7" t="n">
        <v>712.5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100</v>
      </c>
      <c r="C8" t="n">
        <v>100</v>
      </c>
      <c r="D8" t="n">
        <v>100</v>
      </c>
      <c r="E8" t="n">
        <v>0</v>
      </c>
      <c r="F8" t="n">
        <v>200</v>
      </c>
      <c r="G8" t="n">
        <v>300</v>
      </c>
      <c r="H8" t="n">
        <v>100</v>
      </c>
      <c r="I8" t="n">
        <v>0</v>
      </c>
      <c r="J8" t="n">
        <v>200</v>
      </c>
      <c r="K8" t="n">
        <v>0</v>
      </c>
      <c r="L8" t="n">
        <v>200</v>
      </c>
      <c r="M8" t="n">
        <v>200</v>
      </c>
      <c r="N8" t="n">
        <v>912.5</v>
      </c>
      <c r="P8" t="n">
        <v>300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100</v>
      </c>
      <c r="C9" t="n">
        <v>100</v>
      </c>
      <c r="D9" t="n">
        <v>100</v>
      </c>
      <c r="E9" t="n">
        <v>0</v>
      </c>
      <c r="F9" t="n">
        <v>200</v>
      </c>
      <c r="G9" t="n">
        <v>300</v>
      </c>
      <c r="H9" t="n">
        <v>100</v>
      </c>
      <c r="I9" t="n">
        <v>0</v>
      </c>
      <c r="J9" t="n">
        <v>200</v>
      </c>
      <c r="K9" t="n">
        <v>0</v>
      </c>
      <c r="L9" t="n">
        <v>200</v>
      </c>
      <c r="M9" t="n">
        <v>200</v>
      </c>
      <c r="N9" t="n">
        <v>1112.5</v>
      </c>
      <c r="P9" t="n">
        <v>300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100</v>
      </c>
      <c r="C10" t="n">
        <v>100</v>
      </c>
      <c r="D10" t="n">
        <v>100</v>
      </c>
      <c r="E10" t="n">
        <v>0</v>
      </c>
      <c r="F10" t="n">
        <v>200</v>
      </c>
      <c r="G10" t="n">
        <v>300</v>
      </c>
      <c r="H10" t="n">
        <v>100</v>
      </c>
      <c r="I10" t="n">
        <v>0</v>
      </c>
      <c r="J10" t="n">
        <v>200</v>
      </c>
      <c r="K10" t="n">
        <v>0</v>
      </c>
      <c r="L10" t="n">
        <v>200</v>
      </c>
      <c r="M10" t="n">
        <v>200</v>
      </c>
      <c r="N10" t="n">
        <v>1312.5</v>
      </c>
      <c r="P10" t="n">
        <v>200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100</v>
      </c>
      <c r="C11" t="n">
        <v>100</v>
      </c>
      <c r="D11" t="n">
        <v>200</v>
      </c>
      <c r="E11" t="n">
        <v>0</v>
      </c>
      <c r="F11" t="n">
        <v>200</v>
      </c>
      <c r="G11" t="n">
        <v>300</v>
      </c>
      <c r="H11" t="n">
        <v>200</v>
      </c>
      <c r="I11" t="n">
        <v>0</v>
      </c>
      <c r="J11" t="n">
        <v>100</v>
      </c>
      <c r="K11" t="n">
        <v>0</v>
      </c>
      <c r="L11" t="n">
        <v>100</v>
      </c>
      <c r="M11" t="n">
        <v>100</v>
      </c>
      <c r="N11" t="n">
        <v>1412.5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100</v>
      </c>
      <c r="C12" t="n">
        <v>100</v>
      </c>
      <c r="D12" t="n">
        <v>400</v>
      </c>
      <c r="E12" t="n">
        <v>0</v>
      </c>
      <c r="F12" t="n">
        <v>100</v>
      </c>
      <c r="G12" t="n">
        <v>200</v>
      </c>
      <c r="H12" t="n">
        <v>200</v>
      </c>
      <c r="I12" t="n">
        <v>200</v>
      </c>
      <c r="J12" t="n">
        <v>0</v>
      </c>
      <c r="K12" t="n">
        <v>50</v>
      </c>
      <c r="L12" t="n">
        <v>0</v>
      </c>
      <c r="M12" t="n">
        <v>50</v>
      </c>
      <c r="N12" t="n">
        <v>1462.5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100</v>
      </c>
      <c r="C13" t="n">
        <v>100</v>
      </c>
      <c r="D13" t="n">
        <v>200</v>
      </c>
      <c r="E13" t="n">
        <v>200</v>
      </c>
      <c r="F13" t="n">
        <v>0</v>
      </c>
      <c r="G13" t="n">
        <v>100</v>
      </c>
      <c r="H13" t="n">
        <v>100</v>
      </c>
      <c r="I13" t="n">
        <v>300</v>
      </c>
      <c r="J13" t="n">
        <v>0</v>
      </c>
      <c r="K13" t="n">
        <v>75</v>
      </c>
      <c r="L13" t="n">
        <v>0</v>
      </c>
      <c r="M13" t="n">
        <v>75</v>
      </c>
      <c r="N13" t="n">
        <v>1537.5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100</v>
      </c>
      <c r="C14" t="n">
        <v>100</v>
      </c>
      <c r="D14" t="n">
        <v>300</v>
      </c>
      <c r="E14" t="n">
        <v>300</v>
      </c>
      <c r="F14" t="n">
        <v>0</v>
      </c>
      <c r="G14" t="n">
        <v>100</v>
      </c>
      <c r="H14" t="n">
        <v>100</v>
      </c>
      <c r="I14" t="n">
        <v>500</v>
      </c>
      <c r="J14" t="n">
        <v>0</v>
      </c>
      <c r="K14" t="n">
        <v>125</v>
      </c>
      <c r="L14" t="n">
        <v>0</v>
      </c>
      <c r="M14" t="n">
        <v>125</v>
      </c>
      <c r="N14" t="n">
        <v>1662.5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100</v>
      </c>
      <c r="C15" t="n">
        <v>100</v>
      </c>
      <c r="D15" t="n">
        <v>0</v>
      </c>
      <c r="E15" t="n">
        <v>500</v>
      </c>
      <c r="F15" t="n">
        <v>0</v>
      </c>
      <c r="G15" t="n">
        <v>100</v>
      </c>
      <c r="H15" t="n">
        <v>100</v>
      </c>
      <c r="I15" t="n">
        <v>400</v>
      </c>
      <c r="J15" t="n">
        <v>0</v>
      </c>
      <c r="K15" t="n">
        <v>100</v>
      </c>
      <c r="L15" t="n">
        <v>0</v>
      </c>
      <c r="M15" t="n">
        <v>100</v>
      </c>
      <c r="N15" t="n">
        <v>1762.5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100</v>
      </c>
      <c r="C16" t="n">
        <v>100</v>
      </c>
      <c r="D16" t="n">
        <v>100</v>
      </c>
      <c r="E16" t="n">
        <v>400</v>
      </c>
      <c r="F16" t="n">
        <v>0</v>
      </c>
      <c r="G16" t="n">
        <v>100</v>
      </c>
      <c r="H16" t="n">
        <v>100</v>
      </c>
      <c r="I16" t="n">
        <v>400</v>
      </c>
      <c r="J16" t="n">
        <v>0</v>
      </c>
      <c r="K16" t="n">
        <v>100</v>
      </c>
      <c r="L16" t="n">
        <v>0</v>
      </c>
      <c r="M16" t="n">
        <v>100</v>
      </c>
      <c r="N16" t="n">
        <v>1862.5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100</v>
      </c>
      <c r="C17" t="n">
        <v>100</v>
      </c>
      <c r="D17" t="n">
        <v>300</v>
      </c>
      <c r="E17" t="n">
        <v>400</v>
      </c>
      <c r="F17" t="n">
        <v>0</v>
      </c>
      <c r="G17" t="n">
        <v>100</v>
      </c>
      <c r="H17" t="n">
        <v>100</v>
      </c>
      <c r="I17" t="n">
        <v>600</v>
      </c>
      <c r="J17" t="n">
        <v>0</v>
      </c>
      <c r="K17" t="n">
        <v>150</v>
      </c>
      <c r="L17" t="n">
        <v>0</v>
      </c>
      <c r="M17" t="n">
        <v>150</v>
      </c>
      <c r="N17" t="n">
        <v>2012.5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100</v>
      </c>
      <c r="C18" t="n">
        <v>100</v>
      </c>
      <c r="D18" t="n">
        <v>200</v>
      </c>
      <c r="E18" t="n">
        <v>600</v>
      </c>
      <c r="F18" t="n">
        <v>0</v>
      </c>
      <c r="G18" t="n">
        <v>100</v>
      </c>
      <c r="H18" t="n">
        <v>100</v>
      </c>
      <c r="I18" t="n">
        <v>700</v>
      </c>
      <c r="J18" t="n">
        <v>0</v>
      </c>
      <c r="K18" t="n">
        <v>175</v>
      </c>
      <c r="L18" t="n">
        <v>0</v>
      </c>
      <c r="M18" t="n">
        <v>175</v>
      </c>
      <c r="N18" t="n">
        <v>2187.5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100</v>
      </c>
      <c r="C19" t="n">
        <v>100</v>
      </c>
      <c r="D19" t="n">
        <v>100</v>
      </c>
      <c r="E19" t="n">
        <v>700</v>
      </c>
      <c r="F19" t="n">
        <v>0</v>
      </c>
      <c r="G19" t="n">
        <v>100</v>
      </c>
      <c r="H19" t="n">
        <v>100</v>
      </c>
      <c r="I19" t="n">
        <v>700</v>
      </c>
      <c r="J19" t="n">
        <v>0</v>
      </c>
      <c r="K19" t="n">
        <v>175</v>
      </c>
      <c r="L19" t="n">
        <v>0</v>
      </c>
      <c r="M19" t="n">
        <v>175</v>
      </c>
      <c r="N19" t="n">
        <v>2362.5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100</v>
      </c>
      <c r="C20" t="n">
        <v>100</v>
      </c>
      <c r="D20" t="n">
        <v>0</v>
      </c>
      <c r="E20" t="n">
        <v>700</v>
      </c>
      <c r="F20" t="n">
        <v>0</v>
      </c>
      <c r="G20" t="n">
        <v>100</v>
      </c>
      <c r="H20" t="n">
        <v>100</v>
      </c>
      <c r="I20" t="n">
        <v>600</v>
      </c>
      <c r="J20" t="n">
        <v>0</v>
      </c>
      <c r="K20" t="n">
        <v>150</v>
      </c>
      <c r="L20" t="n">
        <v>0</v>
      </c>
      <c r="M20" t="n">
        <v>150</v>
      </c>
      <c r="N20" t="n">
        <v>2512.5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100</v>
      </c>
      <c r="C21" t="n">
        <v>100</v>
      </c>
      <c r="D21" t="n">
        <v>0</v>
      </c>
      <c r="E21" t="n">
        <v>600</v>
      </c>
      <c r="F21" t="n">
        <v>0</v>
      </c>
      <c r="G21" t="n">
        <v>100</v>
      </c>
      <c r="H21" t="n">
        <v>100</v>
      </c>
      <c r="I21" t="n">
        <v>500</v>
      </c>
      <c r="J21" t="n">
        <v>0</v>
      </c>
      <c r="K21" t="n">
        <v>125</v>
      </c>
      <c r="L21" t="n">
        <v>0</v>
      </c>
      <c r="M21" t="n">
        <v>125</v>
      </c>
      <c r="N21" t="n">
        <v>2637.5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100</v>
      </c>
      <c r="C22" t="n">
        <v>100</v>
      </c>
      <c r="D22" t="n">
        <v>0</v>
      </c>
      <c r="E22" t="n">
        <v>500</v>
      </c>
      <c r="F22" t="n">
        <v>0</v>
      </c>
      <c r="G22" t="n">
        <v>100</v>
      </c>
      <c r="H22" t="n">
        <v>100</v>
      </c>
      <c r="I22" t="n">
        <v>400</v>
      </c>
      <c r="J22" t="n">
        <v>0</v>
      </c>
      <c r="K22" t="n">
        <v>100</v>
      </c>
      <c r="L22" t="n">
        <v>0</v>
      </c>
      <c r="M22" t="n">
        <v>100</v>
      </c>
      <c r="N22" t="n">
        <v>2737.5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100</v>
      </c>
      <c r="C23" t="n">
        <v>100</v>
      </c>
      <c r="D23" t="n">
        <v>0</v>
      </c>
      <c r="E23" t="n">
        <v>400</v>
      </c>
      <c r="F23" t="n">
        <v>0</v>
      </c>
      <c r="G23" t="n">
        <v>100</v>
      </c>
      <c r="H23" t="n">
        <v>100</v>
      </c>
      <c r="I23" t="n">
        <v>300</v>
      </c>
      <c r="J23" t="n">
        <v>0</v>
      </c>
      <c r="K23" t="n">
        <v>75</v>
      </c>
      <c r="L23" t="n">
        <v>0</v>
      </c>
      <c r="M23" t="n">
        <v>75</v>
      </c>
      <c r="N23" t="n">
        <v>2812.5</v>
      </c>
      <c r="P23" t="n">
        <v>200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100</v>
      </c>
      <c r="C24" t="n">
        <v>100</v>
      </c>
      <c r="D24" t="n">
        <v>0</v>
      </c>
      <c r="E24" t="n">
        <v>300</v>
      </c>
      <c r="F24" t="n">
        <v>0</v>
      </c>
      <c r="G24" t="n">
        <v>100</v>
      </c>
      <c r="H24" t="n">
        <v>100</v>
      </c>
      <c r="I24" t="n">
        <v>200</v>
      </c>
      <c r="J24" t="n">
        <v>0</v>
      </c>
      <c r="K24" t="n">
        <v>50</v>
      </c>
      <c r="L24" t="n">
        <v>0</v>
      </c>
      <c r="M24" t="n">
        <v>50</v>
      </c>
      <c r="N24" t="n">
        <v>2862.5</v>
      </c>
      <c r="P24" t="n">
        <v>300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100</v>
      </c>
      <c r="C25" t="n">
        <v>100</v>
      </c>
      <c r="D25" t="n">
        <v>0</v>
      </c>
      <c r="E25" t="n">
        <v>200</v>
      </c>
      <c r="F25" t="n">
        <v>0</v>
      </c>
      <c r="G25" t="n">
        <v>100</v>
      </c>
      <c r="H25" t="n">
        <v>100</v>
      </c>
      <c r="I25" t="n">
        <v>100</v>
      </c>
      <c r="J25" t="n">
        <v>0</v>
      </c>
      <c r="K25" t="n">
        <v>25</v>
      </c>
      <c r="L25" t="n">
        <v>0</v>
      </c>
      <c r="M25" t="n">
        <v>25</v>
      </c>
      <c r="N25" t="n">
        <v>2887.5</v>
      </c>
      <c r="P25" t="n">
        <v>300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100</v>
      </c>
      <c r="C26" t="n">
        <v>100</v>
      </c>
      <c r="D26" t="n">
        <v>100</v>
      </c>
      <c r="E26" t="n">
        <v>100</v>
      </c>
      <c r="F26" t="n">
        <v>0</v>
      </c>
      <c r="G26" t="n">
        <v>100</v>
      </c>
      <c r="H26" t="n">
        <v>100</v>
      </c>
      <c r="I26" t="n">
        <v>100</v>
      </c>
      <c r="J26" t="n">
        <v>0</v>
      </c>
      <c r="K26" t="n">
        <v>25</v>
      </c>
      <c r="L26" t="n">
        <v>0</v>
      </c>
      <c r="M26" t="n">
        <v>25</v>
      </c>
      <c r="N26" t="n">
        <v>2912.5</v>
      </c>
      <c r="P26" t="n">
        <v>200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100</v>
      </c>
      <c r="C27" t="n">
        <v>100</v>
      </c>
      <c r="D27" t="n">
        <v>200</v>
      </c>
      <c r="E27" t="n">
        <v>100</v>
      </c>
      <c r="F27" t="n">
        <v>0</v>
      </c>
      <c r="G27" t="n">
        <v>100</v>
      </c>
      <c r="H27" t="n">
        <v>100</v>
      </c>
      <c r="I27" t="n">
        <v>200</v>
      </c>
      <c r="J27" t="n">
        <v>0</v>
      </c>
      <c r="K27" t="n">
        <v>50</v>
      </c>
      <c r="L27" t="n">
        <v>0</v>
      </c>
      <c r="M27" t="n">
        <v>50</v>
      </c>
      <c r="N27" t="n">
        <v>2962.5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100</v>
      </c>
      <c r="C28" t="n">
        <v>100</v>
      </c>
      <c r="D28" t="n">
        <v>300</v>
      </c>
      <c r="E28" t="n">
        <v>200</v>
      </c>
      <c r="F28" t="n">
        <v>0</v>
      </c>
      <c r="G28" t="n">
        <v>100</v>
      </c>
      <c r="H28" t="n">
        <v>100</v>
      </c>
      <c r="I28" t="n">
        <v>400</v>
      </c>
      <c r="J28" t="n">
        <v>0</v>
      </c>
      <c r="K28" t="n">
        <v>100</v>
      </c>
      <c r="L28" t="n">
        <v>0</v>
      </c>
      <c r="M28" t="n">
        <v>100</v>
      </c>
      <c r="N28" t="n">
        <v>3062.5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100</v>
      </c>
      <c r="C29" t="n">
        <v>100</v>
      </c>
      <c r="D29" t="n">
        <v>300</v>
      </c>
      <c r="E29" t="n">
        <v>400</v>
      </c>
      <c r="F29" t="n">
        <v>0</v>
      </c>
      <c r="G29" t="n">
        <v>100</v>
      </c>
      <c r="H29" t="n">
        <v>100</v>
      </c>
      <c r="I29" t="n">
        <v>600</v>
      </c>
      <c r="J29" t="n">
        <v>0</v>
      </c>
      <c r="K29" t="n">
        <v>150</v>
      </c>
      <c r="L29" t="n">
        <v>0</v>
      </c>
      <c r="M29" t="n">
        <v>150</v>
      </c>
      <c r="N29" t="n">
        <v>3212.5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100</v>
      </c>
      <c r="C30" t="n">
        <v>100</v>
      </c>
      <c r="D30" t="n">
        <v>200</v>
      </c>
      <c r="E30" t="n">
        <v>600</v>
      </c>
      <c r="F30" t="n">
        <v>0</v>
      </c>
      <c r="G30" t="n">
        <v>100</v>
      </c>
      <c r="H30" t="n">
        <v>100</v>
      </c>
      <c r="I30" t="n">
        <v>700</v>
      </c>
      <c r="J30" t="n">
        <v>0</v>
      </c>
      <c r="K30" t="n">
        <v>175</v>
      </c>
      <c r="L30" t="n">
        <v>0</v>
      </c>
      <c r="M30" t="n">
        <v>175</v>
      </c>
      <c r="N30" t="n">
        <v>3387.5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100</v>
      </c>
      <c r="C31" t="n">
        <v>100</v>
      </c>
      <c r="D31" t="n">
        <v>0</v>
      </c>
      <c r="E31" t="n">
        <v>700</v>
      </c>
      <c r="F31" t="n">
        <v>0</v>
      </c>
      <c r="G31" t="n">
        <v>100</v>
      </c>
      <c r="H31" t="n">
        <v>100</v>
      </c>
      <c r="I31" t="n">
        <v>600</v>
      </c>
      <c r="J31" t="n">
        <v>0</v>
      </c>
      <c r="K31" t="n">
        <v>150</v>
      </c>
      <c r="L31" t="n">
        <v>0</v>
      </c>
      <c r="M31" t="n">
        <v>150</v>
      </c>
      <c r="N31" t="n">
        <v>3537.5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100</v>
      </c>
      <c r="C32" t="n">
        <v>100</v>
      </c>
      <c r="D32" t="n">
        <v>0</v>
      </c>
      <c r="E32" t="n">
        <v>600</v>
      </c>
      <c r="F32" t="n">
        <v>0</v>
      </c>
      <c r="G32" t="n">
        <v>100</v>
      </c>
      <c r="H32" t="n">
        <v>100</v>
      </c>
      <c r="I32" t="n">
        <v>500</v>
      </c>
      <c r="J32" t="n">
        <v>0</v>
      </c>
      <c r="K32" t="n">
        <v>125</v>
      </c>
      <c r="L32" t="n">
        <v>0</v>
      </c>
      <c r="M32" t="n">
        <v>125</v>
      </c>
      <c r="N32" t="n">
        <v>3662.5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100</v>
      </c>
      <c r="C33" t="n">
        <v>100</v>
      </c>
      <c r="D33" t="n">
        <v>0</v>
      </c>
      <c r="E33" t="n">
        <v>500</v>
      </c>
      <c r="F33" t="n">
        <v>0</v>
      </c>
      <c r="G33" t="n">
        <v>100</v>
      </c>
      <c r="H33" t="n">
        <v>100</v>
      </c>
      <c r="I33" t="n">
        <v>400</v>
      </c>
      <c r="J33" t="n">
        <v>0</v>
      </c>
      <c r="K33" t="n">
        <v>100</v>
      </c>
      <c r="L33" t="n">
        <v>0</v>
      </c>
      <c r="M33" t="n">
        <v>100</v>
      </c>
      <c r="N33" t="n">
        <v>3762.5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100</v>
      </c>
      <c r="C34" t="n">
        <v>100</v>
      </c>
      <c r="D34" t="n">
        <v>0</v>
      </c>
      <c r="E34" t="n">
        <v>400</v>
      </c>
      <c r="F34" t="n">
        <v>0</v>
      </c>
      <c r="G34" t="n">
        <v>100</v>
      </c>
      <c r="H34" t="n">
        <v>100</v>
      </c>
      <c r="I34" t="n">
        <v>300</v>
      </c>
      <c r="J34" t="n">
        <v>0</v>
      </c>
      <c r="K34" t="n">
        <v>75</v>
      </c>
      <c r="L34" t="n">
        <v>0</v>
      </c>
      <c r="M34" t="n">
        <v>75</v>
      </c>
      <c r="N34" t="n">
        <v>3837.5</v>
      </c>
      <c r="P34" t="n">
        <v>200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100</v>
      </c>
      <c r="C35" t="n">
        <v>100</v>
      </c>
      <c r="D35" t="n">
        <v>0</v>
      </c>
      <c r="E35" t="n">
        <v>300</v>
      </c>
      <c r="F35" t="n">
        <v>0</v>
      </c>
      <c r="G35" t="n">
        <v>100</v>
      </c>
      <c r="H35" t="n">
        <v>100</v>
      </c>
      <c r="I35" t="n">
        <v>200</v>
      </c>
      <c r="J35" t="n">
        <v>0</v>
      </c>
      <c r="K35" t="n">
        <v>50</v>
      </c>
      <c r="L35" t="n">
        <v>0</v>
      </c>
      <c r="M35" t="n">
        <v>50</v>
      </c>
      <c r="N35" t="n">
        <v>3887.5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100</v>
      </c>
      <c r="C36" t="n">
        <v>100</v>
      </c>
      <c r="D36" t="n">
        <v>0</v>
      </c>
      <c r="E36" t="n">
        <v>200</v>
      </c>
      <c r="F36" t="n">
        <v>0</v>
      </c>
      <c r="G36" t="n">
        <v>100</v>
      </c>
      <c r="H36" t="n">
        <v>100</v>
      </c>
      <c r="I36" t="n">
        <v>100</v>
      </c>
      <c r="J36" t="n">
        <v>0</v>
      </c>
      <c r="K36" t="n">
        <v>25</v>
      </c>
      <c r="L36" t="n">
        <v>0</v>
      </c>
      <c r="M36" t="n">
        <v>25</v>
      </c>
      <c r="N36" t="n">
        <v>3912.5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200</v>
      </c>
      <c r="F4" t="n">
        <v>0</v>
      </c>
      <c r="G4" t="n">
        <v>100</v>
      </c>
      <c r="H4" t="n">
        <v>100</v>
      </c>
      <c r="I4" t="n">
        <v>100</v>
      </c>
      <c r="J4" t="n">
        <v>0</v>
      </c>
      <c r="K4" t="n">
        <v>25</v>
      </c>
      <c r="L4" t="n">
        <v>0</v>
      </c>
      <c r="M4" t="n">
        <v>25</v>
      </c>
      <c r="N4" t="n">
        <v>112.5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200</v>
      </c>
      <c r="C5" t="n">
        <v>200</v>
      </c>
      <c r="D5" t="n">
        <v>0</v>
      </c>
      <c r="E5" t="n">
        <v>100</v>
      </c>
      <c r="F5" t="n">
        <v>0</v>
      </c>
      <c r="G5" t="n">
        <v>200</v>
      </c>
      <c r="H5" t="n">
        <v>100</v>
      </c>
      <c r="I5" t="n">
        <v>0</v>
      </c>
      <c r="J5" t="n">
        <v>100</v>
      </c>
      <c r="K5" t="n">
        <v>0</v>
      </c>
      <c r="L5" t="n">
        <v>100</v>
      </c>
      <c r="M5" t="n">
        <v>100</v>
      </c>
      <c r="N5" t="n">
        <v>212.5</v>
      </c>
      <c r="P5" t="n">
        <v>200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300</v>
      </c>
      <c r="C6" t="n">
        <v>300</v>
      </c>
      <c r="D6" t="n">
        <v>100</v>
      </c>
      <c r="E6" t="n">
        <v>0</v>
      </c>
      <c r="F6" t="n">
        <v>100</v>
      </c>
      <c r="G6" t="n">
        <v>400</v>
      </c>
      <c r="H6" t="n">
        <v>100</v>
      </c>
      <c r="I6" t="n">
        <v>0</v>
      </c>
      <c r="J6" t="n">
        <v>300</v>
      </c>
      <c r="K6" t="n">
        <v>0</v>
      </c>
      <c r="L6" t="n">
        <v>300</v>
      </c>
      <c r="M6" t="n">
        <v>300</v>
      </c>
      <c r="N6" t="n">
        <v>512.5</v>
      </c>
      <c r="P6" t="n">
        <v>400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100</v>
      </c>
      <c r="E7" t="n">
        <v>0</v>
      </c>
      <c r="F7" t="n">
        <v>300</v>
      </c>
      <c r="G7" t="n">
        <v>600</v>
      </c>
      <c r="H7" t="n">
        <v>100</v>
      </c>
      <c r="I7" t="n">
        <v>0</v>
      </c>
      <c r="J7" t="n">
        <v>500</v>
      </c>
      <c r="K7" t="n">
        <v>0</v>
      </c>
      <c r="L7" t="n">
        <v>500</v>
      </c>
      <c r="M7" t="n">
        <v>500</v>
      </c>
      <c r="N7" t="n">
        <v>1012.5</v>
      </c>
      <c r="P7" t="n">
        <v>600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300</v>
      </c>
      <c r="C8" t="n">
        <v>300</v>
      </c>
      <c r="D8" t="n">
        <v>100</v>
      </c>
      <c r="E8" t="n">
        <v>0</v>
      </c>
      <c r="F8" t="n">
        <v>500</v>
      </c>
      <c r="G8" t="n">
        <v>800</v>
      </c>
      <c r="H8" t="n">
        <v>100</v>
      </c>
      <c r="I8" t="n">
        <v>0</v>
      </c>
      <c r="J8" t="n">
        <v>700</v>
      </c>
      <c r="K8" t="n">
        <v>0</v>
      </c>
      <c r="L8" t="n">
        <v>700</v>
      </c>
      <c r="M8" t="n">
        <v>700</v>
      </c>
      <c r="N8" t="n">
        <v>1712.5</v>
      </c>
      <c r="P8" t="n">
        <v>700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300</v>
      </c>
      <c r="C9" t="n">
        <v>300</v>
      </c>
      <c r="D9" t="n">
        <v>200</v>
      </c>
      <c r="E9" t="n">
        <v>0</v>
      </c>
      <c r="F9" t="n">
        <v>700</v>
      </c>
      <c r="G9" t="n">
        <v>1000</v>
      </c>
      <c r="H9" t="n">
        <v>200</v>
      </c>
      <c r="I9" t="n">
        <v>0</v>
      </c>
      <c r="J9" t="n">
        <v>800</v>
      </c>
      <c r="K9" t="n">
        <v>0</v>
      </c>
      <c r="L9" t="n">
        <v>800</v>
      </c>
      <c r="M9" t="n">
        <v>800</v>
      </c>
      <c r="N9" t="n">
        <v>2512.5</v>
      </c>
      <c r="P9" t="n">
        <v>600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300</v>
      </c>
      <c r="C10" t="n">
        <v>300</v>
      </c>
      <c r="D10" t="n">
        <v>400</v>
      </c>
      <c r="E10" t="n">
        <v>0</v>
      </c>
      <c r="F10" t="n">
        <v>800</v>
      </c>
      <c r="G10" t="n">
        <v>1100</v>
      </c>
      <c r="H10" t="n">
        <v>400</v>
      </c>
      <c r="I10" t="n">
        <v>0</v>
      </c>
      <c r="J10" t="n">
        <v>700</v>
      </c>
      <c r="K10" t="n">
        <v>0</v>
      </c>
      <c r="L10" t="n">
        <v>700</v>
      </c>
      <c r="M10" t="n">
        <v>700</v>
      </c>
      <c r="N10" t="n">
        <v>3212.5</v>
      </c>
      <c r="P10" t="n">
        <v>700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300</v>
      </c>
      <c r="C11" t="n">
        <v>300</v>
      </c>
      <c r="D11" t="n">
        <v>200</v>
      </c>
      <c r="E11" t="n">
        <v>0</v>
      </c>
      <c r="F11" t="n">
        <v>700</v>
      </c>
      <c r="G11" t="n">
        <v>1000</v>
      </c>
      <c r="H11" t="n">
        <v>200</v>
      </c>
      <c r="I11" t="n">
        <v>0</v>
      </c>
      <c r="J11" t="n">
        <v>800</v>
      </c>
      <c r="K11" t="n">
        <v>0</v>
      </c>
      <c r="L11" t="n">
        <v>800</v>
      </c>
      <c r="M11" t="n">
        <v>800</v>
      </c>
      <c r="N11" t="n">
        <v>4012.5</v>
      </c>
      <c r="P11" t="n">
        <v>700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200</v>
      </c>
      <c r="C12" t="n">
        <v>200</v>
      </c>
      <c r="D12" t="n">
        <v>300</v>
      </c>
      <c r="E12" t="n">
        <v>0</v>
      </c>
      <c r="F12" t="n">
        <v>800</v>
      </c>
      <c r="G12" t="n">
        <v>1000</v>
      </c>
      <c r="H12" t="n">
        <v>300</v>
      </c>
      <c r="I12" t="n">
        <v>0</v>
      </c>
      <c r="J12" t="n">
        <v>700</v>
      </c>
      <c r="K12" t="n">
        <v>0</v>
      </c>
      <c r="L12" t="n">
        <v>700</v>
      </c>
      <c r="M12" t="n">
        <v>700</v>
      </c>
      <c r="N12" t="n">
        <v>4712.5</v>
      </c>
      <c r="P12" t="n">
        <v>900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700</v>
      </c>
      <c r="G13" t="n">
        <v>700</v>
      </c>
      <c r="H13" t="n">
        <v>0</v>
      </c>
      <c r="I13" t="n">
        <v>0</v>
      </c>
      <c r="J13" t="n">
        <v>700</v>
      </c>
      <c r="K13" t="n">
        <v>0</v>
      </c>
      <c r="L13" t="n">
        <v>700</v>
      </c>
      <c r="M13" t="n">
        <v>700</v>
      </c>
      <c r="N13" t="n">
        <v>5412.5</v>
      </c>
      <c r="P13" t="n">
        <v>800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</v>
      </c>
      <c r="C14" t="n">
        <v>0</v>
      </c>
      <c r="D14" t="n">
        <v>100</v>
      </c>
      <c r="E14" t="n">
        <v>0</v>
      </c>
      <c r="F14" t="n">
        <v>700</v>
      </c>
      <c r="G14" t="n">
        <v>700</v>
      </c>
      <c r="H14" t="n">
        <v>100</v>
      </c>
      <c r="I14" t="n">
        <v>0</v>
      </c>
      <c r="J14" t="n">
        <v>600</v>
      </c>
      <c r="K14" t="n">
        <v>0</v>
      </c>
      <c r="L14" t="n">
        <v>600</v>
      </c>
      <c r="M14" t="n">
        <v>600</v>
      </c>
      <c r="N14" t="n">
        <v>6012.5</v>
      </c>
      <c r="P14" t="n">
        <v>500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300</v>
      </c>
      <c r="E15" t="n">
        <v>0</v>
      </c>
      <c r="F15" t="n">
        <v>600</v>
      </c>
      <c r="G15" t="n">
        <v>600</v>
      </c>
      <c r="H15" t="n">
        <v>300</v>
      </c>
      <c r="I15" t="n">
        <v>0</v>
      </c>
      <c r="J15" t="n">
        <v>300</v>
      </c>
      <c r="K15" t="n">
        <v>0</v>
      </c>
      <c r="L15" t="n">
        <v>300</v>
      </c>
      <c r="M15" t="n">
        <v>300</v>
      </c>
      <c r="N15" t="n">
        <v>6312.5</v>
      </c>
      <c r="P15" t="n">
        <v>400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200</v>
      </c>
      <c r="E16" t="n">
        <v>0</v>
      </c>
      <c r="F16" t="n">
        <v>300</v>
      </c>
      <c r="G16" t="n">
        <v>300</v>
      </c>
      <c r="H16" t="n">
        <v>200</v>
      </c>
      <c r="I16" t="n">
        <v>0</v>
      </c>
      <c r="J16" t="n">
        <v>100</v>
      </c>
      <c r="K16" t="n">
        <v>0</v>
      </c>
      <c r="L16" t="n">
        <v>100</v>
      </c>
      <c r="M16" t="n">
        <v>100</v>
      </c>
      <c r="N16" t="n">
        <v>6412.5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300</v>
      </c>
      <c r="E17" t="n">
        <v>0</v>
      </c>
      <c r="F17" t="n">
        <v>100</v>
      </c>
      <c r="G17" t="n">
        <v>100</v>
      </c>
      <c r="H17" t="n">
        <v>100</v>
      </c>
      <c r="I17" t="n">
        <v>200</v>
      </c>
      <c r="J17" t="n">
        <v>0</v>
      </c>
      <c r="K17" t="n">
        <v>50</v>
      </c>
      <c r="L17" t="n">
        <v>0</v>
      </c>
      <c r="M17" t="n">
        <v>50</v>
      </c>
      <c r="N17" t="n">
        <v>6462.5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1000</v>
      </c>
      <c r="E18" t="n">
        <v>200</v>
      </c>
      <c r="F18" t="n">
        <v>0</v>
      </c>
      <c r="G18" t="n">
        <v>0</v>
      </c>
      <c r="H18" t="n">
        <v>0</v>
      </c>
      <c r="I18" t="n">
        <v>1200</v>
      </c>
      <c r="J18" t="n">
        <v>0</v>
      </c>
      <c r="K18" t="n">
        <v>300</v>
      </c>
      <c r="L18" t="n">
        <v>0</v>
      </c>
      <c r="M18" t="n">
        <v>300</v>
      </c>
      <c r="N18" t="n">
        <v>6762.5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1500</v>
      </c>
      <c r="E19" t="n">
        <v>1200</v>
      </c>
      <c r="F19" t="n">
        <v>0</v>
      </c>
      <c r="G19" t="n">
        <v>0</v>
      </c>
      <c r="H19" t="n">
        <v>0</v>
      </c>
      <c r="I19" t="n">
        <v>2700</v>
      </c>
      <c r="J19" t="n">
        <v>0</v>
      </c>
      <c r="K19" t="n">
        <v>675</v>
      </c>
      <c r="L19" t="n">
        <v>0</v>
      </c>
      <c r="M19" t="n">
        <v>675</v>
      </c>
      <c r="N19" t="n">
        <v>7437.5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1900</v>
      </c>
      <c r="E20" t="n">
        <v>2700</v>
      </c>
      <c r="F20" t="n">
        <v>0</v>
      </c>
      <c r="G20" t="n">
        <v>0</v>
      </c>
      <c r="H20" t="n">
        <v>0</v>
      </c>
      <c r="I20" t="n">
        <v>4600</v>
      </c>
      <c r="J20" t="n">
        <v>0</v>
      </c>
      <c r="K20" t="n">
        <v>1150</v>
      </c>
      <c r="L20" t="n">
        <v>0</v>
      </c>
      <c r="M20" t="n">
        <v>1150</v>
      </c>
      <c r="N20" t="n">
        <v>8587.5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200</v>
      </c>
      <c r="E21" t="n">
        <v>4600</v>
      </c>
      <c r="F21" t="n">
        <v>0</v>
      </c>
      <c r="G21" t="n">
        <v>0</v>
      </c>
      <c r="H21" t="n">
        <v>0</v>
      </c>
      <c r="I21" t="n">
        <v>4800</v>
      </c>
      <c r="J21" t="n">
        <v>0</v>
      </c>
      <c r="K21" t="n">
        <v>1200</v>
      </c>
      <c r="L21" t="n">
        <v>0</v>
      </c>
      <c r="M21" t="n">
        <v>1200</v>
      </c>
      <c r="N21" t="n">
        <v>9787.5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4800</v>
      </c>
      <c r="F22" t="n">
        <v>0</v>
      </c>
      <c r="G22" t="n">
        <v>0</v>
      </c>
      <c r="H22" t="n">
        <v>0</v>
      </c>
      <c r="I22" t="n">
        <v>4800</v>
      </c>
      <c r="J22" t="n">
        <v>0</v>
      </c>
      <c r="K22" t="n">
        <v>1200</v>
      </c>
      <c r="L22" t="n">
        <v>0</v>
      </c>
      <c r="M22" t="n">
        <v>1200</v>
      </c>
      <c r="N22" t="n">
        <v>10987.5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4800</v>
      </c>
      <c r="F23" t="n">
        <v>0</v>
      </c>
      <c r="G23" t="n">
        <v>0</v>
      </c>
      <c r="H23" t="n">
        <v>0</v>
      </c>
      <c r="I23" t="n">
        <v>4800</v>
      </c>
      <c r="J23" t="n">
        <v>0</v>
      </c>
      <c r="K23" t="n">
        <v>1200</v>
      </c>
      <c r="L23" t="n">
        <v>0</v>
      </c>
      <c r="M23" t="n">
        <v>1200</v>
      </c>
      <c r="N23" t="n">
        <v>12187.5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100</v>
      </c>
      <c r="C24" t="n">
        <v>100</v>
      </c>
      <c r="D24" t="n">
        <v>0</v>
      </c>
      <c r="E24" t="n">
        <v>4800</v>
      </c>
      <c r="F24" t="n">
        <v>0</v>
      </c>
      <c r="G24" t="n">
        <v>100</v>
      </c>
      <c r="H24" t="n">
        <v>100</v>
      </c>
      <c r="I24" t="n">
        <v>4700</v>
      </c>
      <c r="J24" t="n">
        <v>0</v>
      </c>
      <c r="K24" t="n">
        <v>1175</v>
      </c>
      <c r="L24" t="n">
        <v>0</v>
      </c>
      <c r="M24" t="n">
        <v>1175</v>
      </c>
      <c r="N24" t="n">
        <v>13362.5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200</v>
      </c>
      <c r="C25" t="n">
        <v>200</v>
      </c>
      <c r="D25" t="n">
        <v>0</v>
      </c>
      <c r="E25" t="n">
        <v>4700</v>
      </c>
      <c r="F25" t="n">
        <v>0</v>
      </c>
      <c r="G25" t="n">
        <v>200</v>
      </c>
      <c r="H25" t="n">
        <v>200</v>
      </c>
      <c r="I25" t="n">
        <v>4500</v>
      </c>
      <c r="J25" t="n">
        <v>0</v>
      </c>
      <c r="K25" t="n">
        <v>1125</v>
      </c>
      <c r="L25" t="n">
        <v>0</v>
      </c>
      <c r="M25" t="n">
        <v>1125</v>
      </c>
      <c r="N25" t="n">
        <v>14487.5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300</v>
      </c>
      <c r="C26" t="n">
        <v>300</v>
      </c>
      <c r="D26" t="n">
        <v>0</v>
      </c>
      <c r="E26" t="n">
        <v>4500</v>
      </c>
      <c r="F26" t="n">
        <v>0</v>
      </c>
      <c r="G26" t="n">
        <v>300</v>
      </c>
      <c r="H26" t="n">
        <v>300</v>
      </c>
      <c r="I26" t="n">
        <v>4200</v>
      </c>
      <c r="J26" t="n">
        <v>0</v>
      </c>
      <c r="K26" t="n">
        <v>1050</v>
      </c>
      <c r="L26" t="n">
        <v>0</v>
      </c>
      <c r="M26" t="n">
        <v>1050</v>
      </c>
      <c r="N26" t="n">
        <v>15537.5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300</v>
      </c>
      <c r="C27" t="n">
        <v>300</v>
      </c>
      <c r="D27" t="n">
        <v>0</v>
      </c>
      <c r="E27" t="n">
        <v>4200</v>
      </c>
      <c r="F27" t="n">
        <v>0</v>
      </c>
      <c r="G27" t="n">
        <v>300</v>
      </c>
      <c r="H27" t="n">
        <v>300</v>
      </c>
      <c r="I27" t="n">
        <v>3900</v>
      </c>
      <c r="J27" t="n">
        <v>0</v>
      </c>
      <c r="K27" t="n">
        <v>975</v>
      </c>
      <c r="L27" t="n">
        <v>0</v>
      </c>
      <c r="M27" t="n">
        <v>975</v>
      </c>
      <c r="N27" t="n">
        <v>16512.5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200</v>
      </c>
      <c r="C28" t="n">
        <v>200</v>
      </c>
      <c r="D28" t="n">
        <v>0</v>
      </c>
      <c r="E28" t="n">
        <v>3900</v>
      </c>
      <c r="F28" t="n">
        <v>0</v>
      </c>
      <c r="G28" t="n">
        <v>200</v>
      </c>
      <c r="H28" t="n">
        <v>200</v>
      </c>
      <c r="I28" t="n">
        <v>3700</v>
      </c>
      <c r="J28" t="n">
        <v>0</v>
      </c>
      <c r="K28" t="n">
        <v>925</v>
      </c>
      <c r="L28" t="n">
        <v>0</v>
      </c>
      <c r="M28" t="n">
        <v>925</v>
      </c>
      <c r="N28" t="n">
        <v>17437.5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3700</v>
      </c>
      <c r="F29" t="n">
        <v>0</v>
      </c>
      <c r="G29" t="n">
        <v>0</v>
      </c>
      <c r="H29" t="n">
        <v>0</v>
      </c>
      <c r="I29" t="n">
        <v>3700</v>
      </c>
      <c r="J29" t="n">
        <v>0</v>
      </c>
      <c r="K29" t="n">
        <v>925</v>
      </c>
      <c r="L29" t="n">
        <v>0</v>
      </c>
      <c r="M29" t="n">
        <v>925</v>
      </c>
      <c r="N29" t="n">
        <v>18362.5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3700</v>
      </c>
      <c r="F30" t="n">
        <v>0</v>
      </c>
      <c r="G30" t="n">
        <v>0</v>
      </c>
      <c r="H30" t="n">
        <v>0</v>
      </c>
      <c r="I30" t="n">
        <v>3700</v>
      </c>
      <c r="J30" t="n">
        <v>0</v>
      </c>
      <c r="K30" t="n">
        <v>925</v>
      </c>
      <c r="L30" t="n">
        <v>0</v>
      </c>
      <c r="M30" t="n">
        <v>925</v>
      </c>
      <c r="N30" t="n">
        <v>19287.5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3700</v>
      </c>
      <c r="F31" t="n">
        <v>0</v>
      </c>
      <c r="G31" t="n">
        <v>0</v>
      </c>
      <c r="H31" t="n">
        <v>0</v>
      </c>
      <c r="I31" t="n">
        <v>3700</v>
      </c>
      <c r="J31" t="n">
        <v>0</v>
      </c>
      <c r="K31" t="n">
        <v>925</v>
      </c>
      <c r="L31" t="n">
        <v>0</v>
      </c>
      <c r="M31" t="n">
        <v>925</v>
      </c>
      <c r="N31" t="n">
        <v>20212.5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3700</v>
      </c>
      <c r="F32" t="n">
        <v>0</v>
      </c>
      <c r="G32" t="n">
        <v>0</v>
      </c>
      <c r="H32" t="n">
        <v>0</v>
      </c>
      <c r="I32" t="n">
        <v>3700</v>
      </c>
      <c r="J32" t="n">
        <v>0</v>
      </c>
      <c r="K32" t="n">
        <v>925</v>
      </c>
      <c r="L32" t="n">
        <v>0</v>
      </c>
      <c r="M32" t="n">
        <v>925</v>
      </c>
      <c r="N32" t="n">
        <v>21137.5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3700</v>
      </c>
      <c r="F33" t="n">
        <v>0</v>
      </c>
      <c r="G33" t="n">
        <v>0</v>
      </c>
      <c r="H33" t="n">
        <v>0</v>
      </c>
      <c r="I33" t="n">
        <v>3700</v>
      </c>
      <c r="J33" t="n">
        <v>0</v>
      </c>
      <c r="K33" t="n">
        <v>925</v>
      </c>
      <c r="L33" t="n">
        <v>0</v>
      </c>
      <c r="M33" t="n">
        <v>925</v>
      </c>
      <c r="N33" t="n">
        <v>22062.5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3700</v>
      </c>
      <c r="F34" t="n">
        <v>0</v>
      </c>
      <c r="G34" t="n">
        <v>0</v>
      </c>
      <c r="H34" t="n">
        <v>0</v>
      </c>
      <c r="I34" t="n">
        <v>3700</v>
      </c>
      <c r="J34" t="n">
        <v>0</v>
      </c>
      <c r="K34" t="n">
        <v>925</v>
      </c>
      <c r="L34" t="n">
        <v>0</v>
      </c>
      <c r="M34" t="n">
        <v>925</v>
      </c>
      <c r="N34" t="n">
        <v>22987.5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100</v>
      </c>
      <c r="C35" t="n">
        <v>100</v>
      </c>
      <c r="D35" t="n">
        <v>0</v>
      </c>
      <c r="E35" t="n">
        <v>3700</v>
      </c>
      <c r="F35" t="n">
        <v>0</v>
      </c>
      <c r="G35" t="n">
        <v>100</v>
      </c>
      <c r="H35" t="n">
        <v>100</v>
      </c>
      <c r="I35" t="n">
        <v>3600</v>
      </c>
      <c r="J35" t="n">
        <v>0</v>
      </c>
      <c r="K35" t="n">
        <v>900</v>
      </c>
      <c r="L35" t="n">
        <v>0</v>
      </c>
      <c r="M35" t="n">
        <v>900</v>
      </c>
      <c r="N35" t="n">
        <v>23887.5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200</v>
      </c>
      <c r="C36" t="n">
        <v>200</v>
      </c>
      <c r="D36" t="n">
        <v>0</v>
      </c>
      <c r="E36" t="n">
        <v>3600</v>
      </c>
      <c r="F36" t="n">
        <v>0</v>
      </c>
      <c r="G36" t="n">
        <v>200</v>
      </c>
      <c r="H36" t="n">
        <v>200</v>
      </c>
      <c r="I36" t="n">
        <v>3400</v>
      </c>
      <c r="J36" t="n">
        <v>0</v>
      </c>
      <c r="K36" t="n">
        <v>850</v>
      </c>
      <c r="L36" t="n">
        <v>0</v>
      </c>
      <c r="M36" t="n">
        <v>850</v>
      </c>
      <c r="N36" t="n">
        <v>24737.5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200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200</v>
      </c>
      <c r="F4" t="n">
        <v>0</v>
      </c>
      <c r="G4" t="n">
        <v>100</v>
      </c>
      <c r="H4" t="n">
        <v>100</v>
      </c>
      <c r="I4" t="n">
        <v>100</v>
      </c>
      <c r="J4" t="n">
        <v>0</v>
      </c>
      <c r="K4" t="n">
        <v>25</v>
      </c>
      <c r="L4" t="n">
        <v>0</v>
      </c>
      <c r="M4" t="n">
        <v>25</v>
      </c>
      <c r="N4" t="n">
        <v>112.5</v>
      </c>
      <c r="P4" t="n">
        <v>300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100</v>
      </c>
      <c r="F5" t="n">
        <v>0</v>
      </c>
      <c r="G5" t="n">
        <v>100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100</v>
      </c>
      <c r="C6" t="n">
        <v>100</v>
      </c>
      <c r="D6" t="n">
        <v>200</v>
      </c>
      <c r="E6" t="n">
        <v>0</v>
      </c>
      <c r="F6" t="n">
        <v>0</v>
      </c>
      <c r="G6" t="n">
        <v>100</v>
      </c>
      <c r="H6" t="n">
        <v>100</v>
      </c>
      <c r="I6" t="n">
        <v>100</v>
      </c>
      <c r="J6" t="n">
        <v>0</v>
      </c>
      <c r="K6" t="n">
        <v>25</v>
      </c>
      <c r="L6" t="n">
        <v>0</v>
      </c>
      <c r="M6" t="n">
        <v>25</v>
      </c>
      <c r="N6" t="n">
        <v>137.5</v>
      </c>
      <c r="P6" t="n">
        <v>200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200</v>
      </c>
      <c r="C7" t="n">
        <v>200</v>
      </c>
      <c r="D7" t="n">
        <v>200</v>
      </c>
      <c r="E7" t="n">
        <v>100</v>
      </c>
      <c r="F7" t="n">
        <v>0</v>
      </c>
      <c r="G7" t="n">
        <v>200</v>
      </c>
      <c r="H7" t="n">
        <v>200</v>
      </c>
      <c r="I7" t="n">
        <v>100</v>
      </c>
      <c r="J7" t="n">
        <v>0</v>
      </c>
      <c r="K7" t="n">
        <v>25</v>
      </c>
      <c r="L7" t="n">
        <v>0</v>
      </c>
      <c r="M7" t="n">
        <v>25</v>
      </c>
      <c r="N7" t="n">
        <v>162.5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400</v>
      </c>
      <c r="C8" t="n">
        <v>400</v>
      </c>
      <c r="D8" t="n">
        <v>300</v>
      </c>
      <c r="E8" t="n">
        <v>100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162.5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600</v>
      </c>
      <c r="C9" t="n">
        <v>600</v>
      </c>
      <c r="D9" t="n">
        <v>200</v>
      </c>
      <c r="E9" t="n">
        <v>0</v>
      </c>
      <c r="F9" t="n">
        <v>0</v>
      </c>
      <c r="G9" t="n">
        <v>600</v>
      </c>
      <c r="H9" t="n">
        <v>200</v>
      </c>
      <c r="I9" t="n">
        <v>0</v>
      </c>
      <c r="J9" t="n">
        <v>400</v>
      </c>
      <c r="K9" t="n">
        <v>0</v>
      </c>
      <c r="L9" t="n">
        <v>400</v>
      </c>
      <c r="M9" t="n">
        <v>400</v>
      </c>
      <c r="N9" t="n">
        <v>562.5</v>
      </c>
      <c r="P9" t="n">
        <v>300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700</v>
      </c>
      <c r="C10" t="n">
        <v>700</v>
      </c>
      <c r="D10" t="n">
        <v>300</v>
      </c>
      <c r="E10" t="n">
        <v>0</v>
      </c>
      <c r="F10" t="n">
        <v>400</v>
      </c>
      <c r="G10" t="n">
        <v>1100</v>
      </c>
      <c r="H10" t="n">
        <v>300</v>
      </c>
      <c r="I10" t="n">
        <v>0</v>
      </c>
      <c r="J10" t="n">
        <v>800</v>
      </c>
      <c r="K10" t="n">
        <v>0</v>
      </c>
      <c r="L10" t="n">
        <v>800</v>
      </c>
      <c r="M10" t="n">
        <v>800</v>
      </c>
      <c r="N10" t="n">
        <v>1362.5</v>
      </c>
      <c r="P10" t="n">
        <v>1000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600</v>
      </c>
      <c r="C11" t="n">
        <v>600</v>
      </c>
      <c r="D11" t="n">
        <v>0</v>
      </c>
      <c r="E11" t="n">
        <v>0</v>
      </c>
      <c r="F11" t="n">
        <v>800</v>
      </c>
      <c r="G11" t="n">
        <v>1400</v>
      </c>
      <c r="H11" t="n">
        <v>0</v>
      </c>
      <c r="I11" t="n">
        <v>0</v>
      </c>
      <c r="J11" t="n">
        <v>1400</v>
      </c>
      <c r="K11" t="n">
        <v>0</v>
      </c>
      <c r="L11" t="n">
        <v>1400</v>
      </c>
      <c r="M11" t="n">
        <v>1400</v>
      </c>
      <c r="N11" t="n">
        <v>2762.5</v>
      </c>
      <c r="P11" t="n">
        <v>1500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700</v>
      </c>
      <c r="C12" t="n">
        <v>700</v>
      </c>
      <c r="D12" t="n">
        <v>100</v>
      </c>
      <c r="E12" t="n">
        <v>0</v>
      </c>
      <c r="F12" t="n">
        <v>1400</v>
      </c>
      <c r="G12" t="n">
        <v>2100</v>
      </c>
      <c r="H12" t="n">
        <v>100</v>
      </c>
      <c r="I12" t="n">
        <v>0</v>
      </c>
      <c r="J12" t="n">
        <v>2000</v>
      </c>
      <c r="K12" t="n">
        <v>0</v>
      </c>
      <c r="L12" t="n">
        <v>2000</v>
      </c>
      <c r="M12" t="n">
        <v>2000</v>
      </c>
      <c r="N12" t="n">
        <v>4762.5</v>
      </c>
      <c r="P12" t="n">
        <v>1900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700</v>
      </c>
      <c r="C13" t="n">
        <v>700</v>
      </c>
      <c r="D13" t="n">
        <v>300</v>
      </c>
      <c r="E13" t="n">
        <v>0</v>
      </c>
      <c r="F13" t="n">
        <v>2000</v>
      </c>
      <c r="G13" t="n">
        <v>2700</v>
      </c>
      <c r="H13" t="n">
        <v>300</v>
      </c>
      <c r="I13" t="n">
        <v>0</v>
      </c>
      <c r="J13" t="n">
        <v>2400</v>
      </c>
      <c r="K13" t="n">
        <v>0</v>
      </c>
      <c r="L13" t="n">
        <v>2400</v>
      </c>
      <c r="M13" t="n">
        <v>2400</v>
      </c>
      <c r="N13" t="n">
        <v>7162.5</v>
      </c>
      <c r="P13" t="n">
        <v>2400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900</v>
      </c>
      <c r="C14" t="n">
        <v>900</v>
      </c>
      <c r="D14" t="n">
        <v>200</v>
      </c>
      <c r="E14" t="n">
        <v>0</v>
      </c>
      <c r="F14" t="n">
        <v>2400</v>
      </c>
      <c r="G14" t="n">
        <v>3300</v>
      </c>
      <c r="H14" t="n">
        <v>200</v>
      </c>
      <c r="I14" t="n">
        <v>0</v>
      </c>
      <c r="J14" t="n">
        <v>3100</v>
      </c>
      <c r="K14" t="n">
        <v>0</v>
      </c>
      <c r="L14" t="n">
        <v>3100</v>
      </c>
      <c r="M14" t="n">
        <v>3100</v>
      </c>
      <c r="N14" t="n">
        <v>10262.5</v>
      </c>
      <c r="P14" t="n">
        <v>3000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800</v>
      </c>
      <c r="C15" t="n">
        <v>800</v>
      </c>
      <c r="D15" t="n">
        <v>300</v>
      </c>
      <c r="E15" t="n">
        <v>0</v>
      </c>
      <c r="F15" t="n">
        <v>3100</v>
      </c>
      <c r="G15" t="n">
        <v>3900</v>
      </c>
      <c r="H15" t="n">
        <v>300</v>
      </c>
      <c r="I15" t="n">
        <v>0</v>
      </c>
      <c r="J15" t="n">
        <v>3600</v>
      </c>
      <c r="K15" t="n">
        <v>0</v>
      </c>
      <c r="L15" t="n">
        <v>3600</v>
      </c>
      <c r="M15" t="n">
        <v>3600</v>
      </c>
      <c r="N15" t="n">
        <v>13862.5</v>
      </c>
      <c r="P15" t="n">
        <v>2800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500</v>
      </c>
      <c r="C16" t="n">
        <v>500</v>
      </c>
      <c r="D16" t="n">
        <v>1000</v>
      </c>
      <c r="E16" t="n">
        <v>0</v>
      </c>
      <c r="F16" t="n">
        <v>3600</v>
      </c>
      <c r="G16" t="n">
        <v>4100</v>
      </c>
      <c r="H16" t="n">
        <v>1000</v>
      </c>
      <c r="I16" t="n">
        <v>0</v>
      </c>
      <c r="J16" t="n">
        <v>3100</v>
      </c>
      <c r="K16" t="n">
        <v>0</v>
      </c>
      <c r="L16" t="n">
        <v>3100</v>
      </c>
      <c r="M16" t="n">
        <v>3100</v>
      </c>
      <c r="N16" t="n">
        <v>16962.5</v>
      </c>
      <c r="P16" t="n">
        <v>1800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400</v>
      </c>
      <c r="C17" t="n">
        <v>400</v>
      </c>
      <c r="D17" t="n">
        <v>1500</v>
      </c>
      <c r="E17" t="n">
        <v>0</v>
      </c>
      <c r="F17" t="n">
        <v>3100</v>
      </c>
      <c r="G17" t="n">
        <v>3500</v>
      </c>
      <c r="H17" t="n">
        <v>1500</v>
      </c>
      <c r="I17" t="n">
        <v>0</v>
      </c>
      <c r="J17" t="n">
        <v>2000</v>
      </c>
      <c r="K17" t="n">
        <v>0</v>
      </c>
      <c r="L17" t="n">
        <v>2000</v>
      </c>
      <c r="M17" t="n">
        <v>2000</v>
      </c>
      <c r="N17" t="n">
        <v>18962.5</v>
      </c>
      <c r="P17" t="n">
        <v>300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100</v>
      </c>
      <c r="C18" t="n">
        <v>100</v>
      </c>
      <c r="D18" t="n">
        <v>1900</v>
      </c>
      <c r="E18" t="n">
        <v>0</v>
      </c>
      <c r="F18" t="n">
        <v>2000</v>
      </c>
      <c r="G18" t="n">
        <v>2100</v>
      </c>
      <c r="H18" t="n">
        <v>1900</v>
      </c>
      <c r="I18" t="n">
        <v>0</v>
      </c>
      <c r="J18" t="n">
        <v>200</v>
      </c>
      <c r="K18" t="n">
        <v>0</v>
      </c>
      <c r="L18" t="n">
        <v>200</v>
      </c>
      <c r="M18" t="n">
        <v>200</v>
      </c>
      <c r="N18" t="n">
        <v>19162.5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2400</v>
      </c>
      <c r="E19" t="n">
        <v>0</v>
      </c>
      <c r="F19" t="n">
        <v>200</v>
      </c>
      <c r="G19" t="n">
        <v>200</v>
      </c>
      <c r="H19" t="n">
        <v>200</v>
      </c>
      <c r="I19" t="n">
        <v>2200</v>
      </c>
      <c r="J19" t="n">
        <v>0</v>
      </c>
      <c r="K19" t="n">
        <v>550</v>
      </c>
      <c r="L19" t="n">
        <v>0</v>
      </c>
      <c r="M19" t="n">
        <v>550</v>
      </c>
      <c r="N19" t="n">
        <v>19712.5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3000</v>
      </c>
      <c r="E20" t="n">
        <v>2200</v>
      </c>
      <c r="F20" t="n">
        <v>0</v>
      </c>
      <c r="G20" t="n">
        <v>0</v>
      </c>
      <c r="H20" t="n">
        <v>0</v>
      </c>
      <c r="I20" t="n">
        <v>5200</v>
      </c>
      <c r="J20" t="n">
        <v>0</v>
      </c>
      <c r="K20" t="n">
        <v>1300</v>
      </c>
      <c r="L20" t="n">
        <v>0</v>
      </c>
      <c r="M20" t="n">
        <v>1300</v>
      </c>
      <c r="N20" t="n">
        <v>21012.5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2800</v>
      </c>
      <c r="E21" t="n">
        <v>5200</v>
      </c>
      <c r="F21" t="n">
        <v>0</v>
      </c>
      <c r="G21" t="n">
        <v>0</v>
      </c>
      <c r="H21" t="n">
        <v>0</v>
      </c>
      <c r="I21" t="n">
        <v>8000</v>
      </c>
      <c r="J21" t="n">
        <v>0</v>
      </c>
      <c r="K21" t="n">
        <v>2000</v>
      </c>
      <c r="L21" t="n">
        <v>0</v>
      </c>
      <c r="M21" t="n">
        <v>2000</v>
      </c>
      <c r="N21" t="n">
        <v>23012.5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1600</v>
      </c>
      <c r="E22" t="n">
        <v>8000</v>
      </c>
      <c r="F22" t="n">
        <v>0</v>
      </c>
      <c r="G22" t="n">
        <v>0</v>
      </c>
      <c r="H22" t="n">
        <v>0</v>
      </c>
      <c r="I22" t="n">
        <v>9600</v>
      </c>
      <c r="J22" t="n">
        <v>0</v>
      </c>
      <c r="K22" t="n">
        <v>2400</v>
      </c>
      <c r="L22" t="n">
        <v>0</v>
      </c>
      <c r="M22" t="n">
        <v>2400</v>
      </c>
      <c r="N22" t="n">
        <v>25412.5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9600</v>
      </c>
      <c r="F23" t="n">
        <v>0</v>
      </c>
      <c r="G23" t="n">
        <v>0</v>
      </c>
      <c r="H23" t="n">
        <v>0</v>
      </c>
      <c r="I23" t="n">
        <v>9600</v>
      </c>
      <c r="J23" t="n">
        <v>0</v>
      </c>
      <c r="K23" t="n">
        <v>2400</v>
      </c>
      <c r="L23" t="n">
        <v>0</v>
      </c>
      <c r="M23" t="n">
        <v>2400</v>
      </c>
      <c r="N23" t="n">
        <v>27812.5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9600</v>
      </c>
      <c r="F24" t="n">
        <v>0</v>
      </c>
      <c r="G24" t="n">
        <v>0</v>
      </c>
      <c r="H24" t="n">
        <v>0</v>
      </c>
      <c r="I24" t="n">
        <v>9600</v>
      </c>
      <c r="J24" t="n">
        <v>0</v>
      </c>
      <c r="K24" t="n">
        <v>2400</v>
      </c>
      <c r="L24" t="n">
        <v>0</v>
      </c>
      <c r="M24" t="n">
        <v>2400</v>
      </c>
      <c r="N24" t="n">
        <v>30212.5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9600</v>
      </c>
      <c r="F25" t="n">
        <v>0</v>
      </c>
      <c r="G25" t="n">
        <v>0</v>
      </c>
      <c r="H25" t="n">
        <v>0</v>
      </c>
      <c r="I25" t="n">
        <v>9600</v>
      </c>
      <c r="J25" t="n">
        <v>0</v>
      </c>
      <c r="K25" t="n">
        <v>2400</v>
      </c>
      <c r="L25" t="n">
        <v>0</v>
      </c>
      <c r="M25" t="n">
        <v>2400</v>
      </c>
      <c r="N25" t="n">
        <v>32612.5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9600</v>
      </c>
      <c r="F26" t="n">
        <v>0</v>
      </c>
      <c r="G26" t="n">
        <v>0</v>
      </c>
      <c r="H26" t="n">
        <v>0</v>
      </c>
      <c r="I26" t="n">
        <v>9600</v>
      </c>
      <c r="J26" t="n">
        <v>0</v>
      </c>
      <c r="K26" t="n">
        <v>2400</v>
      </c>
      <c r="L26" t="n">
        <v>0</v>
      </c>
      <c r="M26" t="n">
        <v>2400</v>
      </c>
      <c r="N26" t="n">
        <v>35012.5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9600</v>
      </c>
      <c r="F27" t="n">
        <v>0</v>
      </c>
      <c r="G27" t="n">
        <v>0</v>
      </c>
      <c r="H27" t="n">
        <v>0</v>
      </c>
      <c r="I27" t="n">
        <v>9600</v>
      </c>
      <c r="J27" t="n">
        <v>0</v>
      </c>
      <c r="K27" t="n">
        <v>2400</v>
      </c>
      <c r="L27" t="n">
        <v>0</v>
      </c>
      <c r="M27" t="n">
        <v>2400</v>
      </c>
      <c r="N27" t="n">
        <v>37412.5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9600</v>
      </c>
      <c r="F28" t="n">
        <v>0</v>
      </c>
      <c r="G28" t="n">
        <v>0</v>
      </c>
      <c r="H28" t="n">
        <v>0</v>
      </c>
      <c r="I28" t="n">
        <v>9600</v>
      </c>
      <c r="J28" t="n">
        <v>0</v>
      </c>
      <c r="K28" t="n">
        <v>2400</v>
      </c>
      <c r="L28" t="n">
        <v>0</v>
      </c>
      <c r="M28" t="n">
        <v>2400</v>
      </c>
      <c r="N28" t="n">
        <v>39812.5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9600</v>
      </c>
      <c r="F29" t="n">
        <v>0</v>
      </c>
      <c r="G29" t="n">
        <v>0</v>
      </c>
      <c r="H29" t="n">
        <v>0</v>
      </c>
      <c r="I29" t="n">
        <v>9600</v>
      </c>
      <c r="J29" t="n">
        <v>0</v>
      </c>
      <c r="K29" t="n">
        <v>2400</v>
      </c>
      <c r="L29" t="n">
        <v>0</v>
      </c>
      <c r="M29" t="n">
        <v>2400</v>
      </c>
      <c r="N29" t="n">
        <v>42212.5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9600</v>
      </c>
      <c r="F30" t="n">
        <v>0</v>
      </c>
      <c r="G30" t="n">
        <v>0</v>
      </c>
      <c r="H30" t="n">
        <v>0</v>
      </c>
      <c r="I30" t="n">
        <v>9600</v>
      </c>
      <c r="J30" t="n">
        <v>0</v>
      </c>
      <c r="K30" t="n">
        <v>2400</v>
      </c>
      <c r="L30" t="n">
        <v>0</v>
      </c>
      <c r="M30" t="n">
        <v>2400</v>
      </c>
      <c r="N30" t="n">
        <v>44612.5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9600</v>
      </c>
      <c r="F31" t="n">
        <v>0</v>
      </c>
      <c r="G31" t="n">
        <v>0</v>
      </c>
      <c r="H31" t="n">
        <v>0</v>
      </c>
      <c r="I31" t="n">
        <v>9600</v>
      </c>
      <c r="J31" t="n">
        <v>0</v>
      </c>
      <c r="K31" t="n">
        <v>2400</v>
      </c>
      <c r="L31" t="n">
        <v>0</v>
      </c>
      <c r="M31" t="n">
        <v>2400</v>
      </c>
      <c r="N31" t="n">
        <v>47012.5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9600</v>
      </c>
      <c r="F32" t="n">
        <v>0</v>
      </c>
      <c r="G32" t="n">
        <v>0</v>
      </c>
      <c r="H32" t="n">
        <v>0</v>
      </c>
      <c r="I32" t="n">
        <v>9600</v>
      </c>
      <c r="J32" t="n">
        <v>0</v>
      </c>
      <c r="K32" t="n">
        <v>2400</v>
      </c>
      <c r="L32" t="n">
        <v>0</v>
      </c>
      <c r="M32" t="n">
        <v>2400</v>
      </c>
      <c r="N32" t="n">
        <v>49412.5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9600</v>
      </c>
      <c r="F33" t="n">
        <v>0</v>
      </c>
      <c r="G33" t="n">
        <v>0</v>
      </c>
      <c r="H33" t="n">
        <v>0</v>
      </c>
      <c r="I33" t="n">
        <v>9600</v>
      </c>
      <c r="J33" t="n">
        <v>0</v>
      </c>
      <c r="K33" t="n">
        <v>2400</v>
      </c>
      <c r="L33" t="n">
        <v>0</v>
      </c>
      <c r="M33" t="n">
        <v>2400</v>
      </c>
      <c r="N33" t="n">
        <v>51812.5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9600</v>
      </c>
      <c r="F34" t="n">
        <v>0</v>
      </c>
      <c r="G34" t="n">
        <v>0</v>
      </c>
      <c r="H34" t="n">
        <v>0</v>
      </c>
      <c r="I34" t="n">
        <v>9600</v>
      </c>
      <c r="J34" t="n">
        <v>0</v>
      </c>
      <c r="K34" t="n">
        <v>2400</v>
      </c>
      <c r="L34" t="n">
        <v>0</v>
      </c>
      <c r="M34" t="n">
        <v>2400</v>
      </c>
      <c r="N34" t="n">
        <v>54212.5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9600</v>
      </c>
      <c r="F35" t="n">
        <v>0</v>
      </c>
      <c r="G35" t="n">
        <v>0</v>
      </c>
      <c r="H35" t="n">
        <v>0</v>
      </c>
      <c r="I35" t="n">
        <v>9600</v>
      </c>
      <c r="J35" t="n">
        <v>0</v>
      </c>
      <c r="K35" t="n">
        <v>2400</v>
      </c>
      <c r="L35" t="n">
        <v>0</v>
      </c>
      <c r="M35" t="n">
        <v>2400</v>
      </c>
      <c r="N35" t="n">
        <v>56612.5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9600</v>
      </c>
      <c r="F36" t="n">
        <v>0</v>
      </c>
      <c r="G36" t="n">
        <v>0</v>
      </c>
      <c r="H36" t="n">
        <v>0</v>
      </c>
      <c r="I36" t="n">
        <v>9600</v>
      </c>
      <c r="J36" t="n">
        <v>0</v>
      </c>
      <c r="K36" t="n">
        <v>2400</v>
      </c>
      <c r="L36" t="n">
        <v>0</v>
      </c>
      <c r="M36" t="n">
        <v>2400</v>
      </c>
      <c r="N36" t="n">
        <v>59012.5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300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200</v>
      </c>
      <c r="C4" t="n">
        <v>200</v>
      </c>
      <c r="D4" t="n">
        <v>300</v>
      </c>
      <c r="E4" t="n">
        <v>200</v>
      </c>
      <c r="F4" t="n">
        <v>0</v>
      </c>
      <c r="G4" t="n">
        <v>200</v>
      </c>
      <c r="H4" t="n">
        <v>200</v>
      </c>
      <c r="I4" t="n">
        <v>300</v>
      </c>
      <c r="J4" t="n">
        <v>0</v>
      </c>
      <c r="K4" t="n">
        <v>75</v>
      </c>
      <c r="L4" t="n">
        <v>0</v>
      </c>
      <c r="M4" t="n">
        <v>75</v>
      </c>
      <c r="N4" t="n">
        <v>162.5</v>
      </c>
      <c r="P4" t="n">
        <v>200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200</v>
      </c>
      <c r="C5" t="n">
        <v>200</v>
      </c>
      <c r="D5" t="n">
        <v>0</v>
      </c>
      <c r="E5" t="n">
        <v>300</v>
      </c>
      <c r="F5" t="n">
        <v>0</v>
      </c>
      <c r="G5" t="n">
        <v>200</v>
      </c>
      <c r="H5" t="n">
        <v>200</v>
      </c>
      <c r="I5" t="n">
        <v>100</v>
      </c>
      <c r="J5" t="n">
        <v>0</v>
      </c>
      <c r="K5" t="n">
        <v>25</v>
      </c>
      <c r="L5" t="n">
        <v>0</v>
      </c>
      <c r="M5" t="n">
        <v>25</v>
      </c>
      <c r="N5" t="n">
        <v>187.5</v>
      </c>
      <c r="P5" t="n">
        <v>200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300</v>
      </c>
      <c r="C6" t="n">
        <v>300</v>
      </c>
      <c r="D6" t="n">
        <v>200</v>
      </c>
      <c r="E6" t="n">
        <v>100</v>
      </c>
      <c r="F6" t="n">
        <v>0</v>
      </c>
      <c r="G6" t="n">
        <v>300</v>
      </c>
      <c r="H6" t="n">
        <v>300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187.5</v>
      </c>
      <c r="P6" t="n">
        <v>300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200</v>
      </c>
      <c r="E7" t="n">
        <v>0</v>
      </c>
      <c r="F7" t="n">
        <v>0</v>
      </c>
      <c r="G7" t="n">
        <v>300</v>
      </c>
      <c r="H7" t="n">
        <v>200</v>
      </c>
      <c r="I7" t="n">
        <v>0</v>
      </c>
      <c r="J7" t="n">
        <v>100</v>
      </c>
      <c r="K7" t="n">
        <v>0</v>
      </c>
      <c r="L7" t="n">
        <v>100</v>
      </c>
      <c r="M7" t="n">
        <v>100</v>
      </c>
      <c r="N7" t="n">
        <v>287.5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200</v>
      </c>
      <c r="C8" t="n">
        <v>200</v>
      </c>
      <c r="D8" t="n">
        <v>300</v>
      </c>
      <c r="E8" t="n">
        <v>0</v>
      </c>
      <c r="F8" t="n">
        <v>100</v>
      </c>
      <c r="G8" t="n">
        <v>300</v>
      </c>
      <c r="H8" t="n">
        <v>300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287.5</v>
      </c>
      <c r="P8" t="n">
        <v>200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0</v>
      </c>
      <c r="C9" t="n">
        <v>0</v>
      </c>
      <c r="D9" t="n">
        <v>300</v>
      </c>
      <c r="E9" t="n">
        <v>0</v>
      </c>
      <c r="F9" t="n">
        <v>0</v>
      </c>
      <c r="G9" t="n">
        <v>0</v>
      </c>
      <c r="H9" t="n">
        <v>0</v>
      </c>
      <c r="I9" t="n">
        <v>300</v>
      </c>
      <c r="J9" t="n">
        <v>0</v>
      </c>
      <c r="K9" t="n">
        <v>75</v>
      </c>
      <c r="L9" t="n">
        <v>0</v>
      </c>
      <c r="M9" t="n">
        <v>75</v>
      </c>
      <c r="N9" t="n">
        <v>362.5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100</v>
      </c>
      <c r="C10" t="n">
        <v>100</v>
      </c>
      <c r="D10" t="n">
        <v>200</v>
      </c>
      <c r="E10" t="n">
        <v>300</v>
      </c>
      <c r="F10" t="n">
        <v>0</v>
      </c>
      <c r="G10" t="n">
        <v>100</v>
      </c>
      <c r="H10" t="n">
        <v>100</v>
      </c>
      <c r="I10" t="n">
        <v>400</v>
      </c>
      <c r="J10" t="n">
        <v>0</v>
      </c>
      <c r="K10" t="n">
        <v>100</v>
      </c>
      <c r="L10" t="n">
        <v>0</v>
      </c>
      <c r="M10" t="n">
        <v>100</v>
      </c>
      <c r="N10" t="n">
        <v>462.5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300</v>
      </c>
      <c r="C11" t="n">
        <v>300</v>
      </c>
      <c r="D11" t="n">
        <v>0</v>
      </c>
      <c r="E11" t="n">
        <v>400</v>
      </c>
      <c r="F11" t="n">
        <v>0</v>
      </c>
      <c r="G11" t="n">
        <v>300</v>
      </c>
      <c r="H11" t="n">
        <v>300</v>
      </c>
      <c r="I11" t="n">
        <v>100</v>
      </c>
      <c r="J11" t="n">
        <v>0</v>
      </c>
      <c r="K11" t="n">
        <v>25</v>
      </c>
      <c r="L11" t="n">
        <v>0</v>
      </c>
      <c r="M11" t="n">
        <v>25</v>
      </c>
      <c r="N11" t="n">
        <v>487.5</v>
      </c>
      <c r="P11" t="n">
        <v>300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1000</v>
      </c>
      <c r="C12" t="n">
        <v>1000</v>
      </c>
      <c r="D12" t="n">
        <v>100</v>
      </c>
      <c r="E12" t="n">
        <v>100</v>
      </c>
      <c r="F12" t="n">
        <v>0</v>
      </c>
      <c r="G12" t="n">
        <v>1000</v>
      </c>
      <c r="H12" t="n">
        <v>200</v>
      </c>
      <c r="I12" t="n">
        <v>0</v>
      </c>
      <c r="J12" t="n">
        <v>800</v>
      </c>
      <c r="K12" t="n">
        <v>0</v>
      </c>
      <c r="L12" t="n">
        <v>800</v>
      </c>
      <c r="M12" t="n">
        <v>800</v>
      </c>
      <c r="N12" t="n">
        <v>1287.5</v>
      </c>
      <c r="P12" t="n">
        <v>1000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1500</v>
      </c>
      <c r="C13" t="n">
        <v>1500</v>
      </c>
      <c r="D13" t="n">
        <v>300</v>
      </c>
      <c r="E13" t="n">
        <v>0</v>
      </c>
      <c r="F13" t="n">
        <v>800</v>
      </c>
      <c r="G13" t="n">
        <v>2300</v>
      </c>
      <c r="H13" t="n">
        <v>300</v>
      </c>
      <c r="I13" t="n">
        <v>0</v>
      </c>
      <c r="J13" t="n">
        <v>2000</v>
      </c>
      <c r="K13" t="n">
        <v>0</v>
      </c>
      <c r="L13" t="n">
        <v>2000</v>
      </c>
      <c r="M13" t="n">
        <v>2000</v>
      </c>
      <c r="N13" t="n">
        <v>3287.5</v>
      </c>
      <c r="P13" t="n">
        <v>1500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1900</v>
      </c>
      <c r="C14" t="n">
        <v>1900</v>
      </c>
      <c r="D14" t="n">
        <v>1000</v>
      </c>
      <c r="E14" t="n">
        <v>0</v>
      </c>
      <c r="F14" t="n">
        <v>2000</v>
      </c>
      <c r="G14" t="n">
        <v>3900</v>
      </c>
      <c r="H14" t="n">
        <v>1000</v>
      </c>
      <c r="I14" t="n">
        <v>0</v>
      </c>
      <c r="J14" t="n">
        <v>2900</v>
      </c>
      <c r="K14" t="n">
        <v>0</v>
      </c>
      <c r="L14" t="n">
        <v>2900</v>
      </c>
      <c r="M14" t="n">
        <v>2900</v>
      </c>
      <c r="N14" t="n">
        <v>6187.5</v>
      </c>
      <c r="P14" t="n">
        <v>1900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2400</v>
      </c>
      <c r="C15" t="n">
        <v>2400</v>
      </c>
      <c r="D15" t="n">
        <v>1500</v>
      </c>
      <c r="E15" t="n">
        <v>0</v>
      </c>
      <c r="F15" t="n">
        <v>2900</v>
      </c>
      <c r="G15" t="n">
        <v>5300</v>
      </c>
      <c r="H15" t="n">
        <v>1500</v>
      </c>
      <c r="I15" t="n">
        <v>0</v>
      </c>
      <c r="J15" t="n">
        <v>3800</v>
      </c>
      <c r="K15" t="n">
        <v>0</v>
      </c>
      <c r="L15" t="n">
        <v>3800</v>
      </c>
      <c r="M15" t="n">
        <v>3800</v>
      </c>
      <c r="N15" t="n">
        <v>9987.5</v>
      </c>
      <c r="P15" t="n">
        <v>2400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3000</v>
      </c>
      <c r="C16" t="n">
        <v>3000</v>
      </c>
      <c r="D16" t="n">
        <v>1900</v>
      </c>
      <c r="E16" t="n">
        <v>0</v>
      </c>
      <c r="F16" t="n">
        <v>3800</v>
      </c>
      <c r="G16" t="n">
        <v>6800</v>
      </c>
      <c r="H16" t="n">
        <v>1900</v>
      </c>
      <c r="I16" t="n">
        <v>0</v>
      </c>
      <c r="J16" t="n">
        <v>4900</v>
      </c>
      <c r="K16" t="n">
        <v>0</v>
      </c>
      <c r="L16" t="n">
        <v>4900</v>
      </c>
      <c r="M16" t="n">
        <v>4900</v>
      </c>
      <c r="N16" t="n">
        <v>14887.5</v>
      </c>
      <c r="P16" t="n">
        <v>3000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2800</v>
      </c>
      <c r="C17" t="n">
        <v>2800</v>
      </c>
      <c r="D17" t="n">
        <v>2400</v>
      </c>
      <c r="E17" t="n">
        <v>0</v>
      </c>
      <c r="F17" t="n">
        <v>4900</v>
      </c>
      <c r="G17" t="n">
        <v>7700</v>
      </c>
      <c r="H17" t="n">
        <v>2400</v>
      </c>
      <c r="I17" t="n">
        <v>0</v>
      </c>
      <c r="J17" t="n">
        <v>5300</v>
      </c>
      <c r="K17" t="n">
        <v>0</v>
      </c>
      <c r="L17" t="n">
        <v>5300</v>
      </c>
      <c r="M17" t="n">
        <v>5300</v>
      </c>
      <c r="N17" t="n">
        <v>20187.5</v>
      </c>
      <c r="P17" t="n">
        <v>2800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1800</v>
      </c>
      <c r="C18" t="n">
        <v>1800</v>
      </c>
      <c r="D18" t="n">
        <v>3000</v>
      </c>
      <c r="E18" t="n">
        <v>0</v>
      </c>
      <c r="F18" t="n">
        <v>5300</v>
      </c>
      <c r="G18" t="n">
        <v>7100</v>
      </c>
      <c r="H18" t="n">
        <v>3000</v>
      </c>
      <c r="I18" t="n">
        <v>0</v>
      </c>
      <c r="J18" t="n">
        <v>4100</v>
      </c>
      <c r="K18" t="n">
        <v>0</v>
      </c>
      <c r="L18" t="n">
        <v>4100</v>
      </c>
      <c r="M18" t="n">
        <v>4100</v>
      </c>
      <c r="N18" t="n">
        <v>24287.5</v>
      </c>
      <c r="P18" t="n">
        <v>1600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300</v>
      </c>
      <c r="C19" t="n">
        <v>300</v>
      </c>
      <c r="D19" t="n">
        <v>2800</v>
      </c>
      <c r="E19" t="n">
        <v>0</v>
      </c>
      <c r="F19" t="n">
        <v>4100</v>
      </c>
      <c r="G19" t="n">
        <v>4400</v>
      </c>
      <c r="H19" t="n">
        <v>2800</v>
      </c>
      <c r="I19" t="n">
        <v>0</v>
      </c>
      <c r="J19" t="n">
        <v>1600</v>
      </c>
      <c r="K19" t="n">
        <v>0</v>
      </c>
      <c r="L19" t="n">
        <v>1600</v>
      </c>
      <c r="M19" t="n">
        <v>1600</v>
      </c>
      <c r="N19" t="n">
        <v>25887.5</v>
      </c>
      <c r="P19" t="n">
        <v>200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1600</v>
      </c>
      <c r="E20" t="n">
        <v>0</v>
      </c>
      <c r="F20" t="n">
        <v>1600</v>
      </c>
      <c r="G20" t="n">
        <v>1600</v>
      </c>
      <c r="H20" t="n">
        <v>1600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25887.5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200</v>
      </c>
      <c r="E21" t="n">
        <v>0</v>
      </c>
      <c r="F21" t="n">
        <v>0</v>
      </c>
      <c r="G21" t="n">
        <v>0</v>
      </c>
      <c r="H21" t="n">
        <v>0</v>
      </c>
      <c r="I21" t="n">
        <v>200</v>
      </c>
      <c r="J21" t="n">
        <v>0</v>
      </c>
      <c r="K21" t="n">
        <v>50</v>
      </c>
      <c r="L21" t="n">
        <v>0</v>
      </c>
      <c r="M21" t="n">
        <v>50</v>
      </c>
      <c r="N21" t="n">
        <v>25937.5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200</v>
      </c>
      <c r="F22" t="n">
        <v>0</v>
      </c>
      <c r="G22" t="n">
        <v>0</v>
      </c>
      <c r="H22" t="n">
        <v>0</v>
      </c>
      <c r="I22" t="n">
        <v>200</v>
      </c>
      <c r="J22" t="n">
        <v>0</v>
      </c>
      <c r="K22" t="n">
        <v>50</v>
      </c>
      <c r="L22" t="n">
        <v>0</v>
      </c>
      <c r="M22" t="n">
        <v>50</v>
      </c>
      <c r="N22" t="n">
        <v>25987.5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200</v>
      </c>
      <c r="F23" t="n">
        <v>0</v>
      </c>
      <c r="G23" t="n">
        <v>0</v>
      </c>
      <c r="H23" t="n">
        <v>0</v>
      </c>
      <c r="I23" t="n">
        <v>200</v>
      </c>
      <c r="J23" t="n">
        <v>0</v>
      </c>
      <c r="K23" t="n">
        <v>50</v>
      </c>
      <c r="L23" t="n">
        <v>0</v>
      </c>
      <c r="M23" t="n">
        <v>50</v>
      </c>
      <c r="N23" t="n">
        <v>26037.5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200</v>
      </c>
      <c r="F24" t="n">
        <v>0</v>
      </c>
      <c r="G24" t="n">
        <v>0</v>
      </c>
      <c r="H24" t="n">
        <v>0</v>
      </c>
      <c r="I24" t="n">
        <v>200</v>
      </c>
      <c r="J24" t="n">
        <v>0</v>
      </c>
      <c r="K24" t="n">
        <v>50</v>
      </c>
      <c r="L24" t="n">
        <v>0</v>
      </c>
      <c r="M24" t="n">
        <v>50</v>
      </c>
      <c r="N24" t="n">
        <v>26087.5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200</v>
      </c>
      <c r="F25" t="n">
        <v>0</v>
      </c>
      <c r="G25" t="n">
        <v>0</v>
      </c>
      <c r="H25" t="n">
        <v>0</v>
      </c>
      <c r="I25" t="n">
        <v>200</v>
      </c>
      <c r="J25" t="n">
        <v>0</v>
      </c>
      <c r="K25" t="n">
        <v>50</v>
      </c>
      <c r="L25" t="n">
        <v>0</v>
      </c>
      <c r="M25" t="n">
        <v>50</v>
      </c>
      <c r="N25" t="n">
        <v>26137.5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200</v>
      </c>
      <c r="F26" t="n">
        <v>0</v>
      </c>
      <c r="G26" t="n">
        <v>0</v>
      </c>
      <c r="H26" t="n">
        <v>0</v>
      </c>
      <c r="I26" t="n">
        <v>200</v>
      </c>
      <c r="J26" t="n">
        <v>0</v>
      </c>
      <c r="K26" t="n">
        <v>50</v>
      </c>
      <c r="L26" t="n">
        <v>0</v>
      </c>
      <c r="M26" t="n">
        <v>50</v>
      </c>
      <c r="N26" t="n">
        <v>26187.5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200</v>
      </c>
      <c r="F27" t="n">
        <v>0</v>
      </c>
      <c r="G27" t="n">
        <v>0</v>
      </c>
      <c r="H27" t="n">
        <v>0</v>
      </c>
      <c r="I27" t="n">
        <v>200</v>
      </c>
      <c r="J27" t="n">
        <v>0</v>
      </c>
      <c r="K27" t="n">
        <v>50</v>
      </c>
      <c r="L27" t="n">
        <v>0</v>
      </c>
      <c r="M27" t="n">
        <v>50</v>
      </c>
      <c r="N27" t="n">
        <v>26237.5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200</v>
      </c>
      <c r="F28" t="n">
        <v>0</v>
      </c>
      <c r="G28" t="n">
        <v>0</v>
      </c>
      <c r="H28" t="n">
        <v>0</v>
      </c>
      <c r="I28" t="n">
        <v>200</v>
      </c>
      <c r="J28" t="n">
        <v>0</v>
      </c>
      <c r="K28" t="n">
        <v>50</v>
      </c>
      <c r="L28" t="n">
        <v>0</v>
      </c>
      <c r="M28" t="n">
        <v>50</v>
      </c>
      <c r="N28" t="n">
        <v>26287.5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200</v>
      </c>
      <c r="F29" t="n">
        <v>0</v>
      </c>
      <c r="G29" t="n">
        <v>0</v>
      </c>
      <c r="H29" t="n">
        <v>0</v>
      </c>
      <c r="I29" t="n">
        <v>200</v>
      </c>
      <c r="J29" t="n">
        <v>0</v>
      </c>
      <c r="K29" t="n">
        <v>50</v>
      </c>
      <c r="L29" t="n">
        <v>0</v>
      </c>
      <c r="M29" t="n">
        <v>50</v>
      </c>
      <c r="N29" t="n">
        <v>26337.5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200</v>
      </c>
      <c r="F30" t="n">
        <v>0</v>
      </c>
      <c r="G30" t="n">
        <v>0</v>
      </c>
      <c r="H30" t="n">
        <v>0</v>
      </c>
      <c r="I30" t="n">
        <v>200</v>
      </c>
      <c r="J30" t="n">
        <v>0</v>
      </c>
      <c r="K30" t="n">
        <v>50</v>
      </c>
      <c r="L30" t="n">
        <v>0</v>
      </c>
      <c r="M30" t="n">
        <v>50</v>
      </c>
      <c r="N30" t="n">
        <v>26387.5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200</v>
      </c>
      <c r="F31" t="n">
        <v>0</v>
      </c>
      <c r="G31" t="n">
        <v>0</v>
      </c>
      <c r="H31" t="n">
        <v>0</v>
      </c>
      <c r="I31" t="n">
        <v>200</v>
      </c>
      <c r="J31" t="n">
        <v>0</v>
      </c>
      <c r="K31" t="n">
        <v>50</v>
      </c>
      <c r="L31" t="n">
        <v>0</v>
      </c>
      <c r="M31" t="n">
        <v>50</v>
      </c>
      <c r="N31" t="n">
        <v>26437.5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200</v>
      </c>
      <c r="F32" t="n">
        <v>0</v>
      </c>
      <c r="G32" t="n">
        <v>0</v>
      </c>
      <c r="H32" t="n">
        <v>0</v>
      </c>
      <c r="I32" t="n">
        <v>200</v>
      </c>
      <c r="J32" t="n">
        <v>0</v>
      </c>
      <c r="K32" t="n">
        <v>50</v>
      </c>
      <c r="L32" t="n">
        <v>0</v>
      </c>
      <c r="M32" t="n">
        <v>50</v>
      </c>
      <c r="N32" t="n">
        <v>26487.5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200</v>
      </c>
      <c r="F33" t="n">
        <v>0</v>
      </c>
      <c r="G33" t="n">
        <v>0</v>
      </c>
      <c r="H33" t="n">
        <v>0</v>
      </c>
      <c r="I33" t="n">
        <v>200</v>
      </c>
      <c r="J33" t="n">
        <v>0</v>
      </c>
      <c r="K33" t="n">
        <v>50</v>
      </c>
      <c r="L33" t="n">
        <v>0</v>
      </c>
      <c r="M33" t="n">
        <v>50</v>
      </c>
      <c r="N33" t="n">
        <v>26537.5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200</v>
      </c>
      <c r="F34" t="n">
        <v>0</v>
      </c>
      <c r="G34" t="n">
        <v>0</v>
      </c>
      <c r="H34" t="n">
        <v>0</v>
      </c>
      <c r="I34" t="n">
        <v>200</v>
      </c>
      <c r="J34" t="n">
        <v>0</v>
      </c>
      <c r="K34" t="n">
        <v>50</v>
      </c>
      <c r="L34" t="n">
        <v>0</v>
      </c>
      <c r="M34" t="n">
        <v>50</v>
      </c>
      <c r="N34" t="n">
        <v>26587.5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200</v>
      </c>
      <c r="F35" t="n">
        <v>0</v>
      </c>
      <c r="G35" t="n">
        <v>0</v>
      </c>
      <c r="H35" t="n">
        <v>0</v>
      </c>
      <c r="I35" t="n">
        <v>200</v>
      </c>
      <c r="J35" t="n">
        <v>0</v>
      </c>
      <c r="K35" t="n">
        <v>50</v>
      </c>
      <c r="L35" t="n">
        <v>0</v>
      </c>
      <c r="M35" t="n">
        <v>50</v>
      </c>
      <c r="N35" t="n">
        <v>26637.5</v>
      </c>
      <c r="P35" t="n">
        <v>300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200</v>
      </c>
      <c r="F36" t="n">
        <v>0</v>
      </c>
      <c r="G36" t="n">
        <v>0</v>
      </c>
      <c r="H36" t="n">
        <v>0</v>
      </c>
      <c r="I36" t="n">
        <v>200</v>
      </c>
      <c r="J36" t="n">
        <v>0</v>
      </c>
      <c r="K36" t="n">
        <v>50</v>
      </c>
      <c r="L36" t="n">
        <v>0</v>
      </c>
      <c r="M36" t="n">
        <v>50</v>
      </c>
      <c r="N36" t="n">
        <v>26687.5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91</v>
      </c>
      <c r="C2" t="n">
        <v>91</v>
      </c>
      <c r="D2" t="n">
        <v>50</v>
      </c>
      <c r="E2" t="n">
        <v>100</v>
      </c>
      <c r="F2" t="n">
        <v>0</v>
      </c>
      <c r="G2" t="n">
        <v>91</v>
      </c>
      <c r="H2" t="n">
        <v>91</v>
      </c>
      <c r="I2" t="n">
        <v>59</v>
      </c>
      <c r="J2" t="n">
        <v>0</v>
      </c>
      <c r="K2" t="n">
        <v>14.75</v>
      </c>
      <c r="L2" t="n">
        <v>0</v>
      </c>
      <c r="M2" t="n">
        <v>14.75</v>
      </c>
      <c r="N2" t="n">
        <v>14.75</v>
      </c>
      <c r="P2" t="n">
        <v>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139</v>
      </c>
      <c r="C3" t="n">
        <v>139</v>
      </c>
      <c r="D3" t="n">
        <v>50</v>
      </c>
      <c r="E3" t="n">
        <v>59</v>
      </c>
      <c r="F3" t="n">
        <v>0</v>
      </c>
      <c r="G3" t="n">
        <v>139</v>
      </c>
      <c r="H3" t="n">
        <v>109</v>
      </c>
      <c r="I3" t="n">
        <v>0</v>
      </c>
      <c r="J3" t="n">
        <v>30</v>
      </c>
      <c r="K3" t="n">
        <v>0</v>
      </c>
      <c r="L3" t="n">
        <v>30</v>
      </c>
      <c r="M3" t="n">
        <v>30</v>
      </c>
      <c r="N3" t="n">
        <v>44.75</v>
      </c>
      <c r="P3" t="n">
        <v>230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109</v>
      </c>
      <c r="C4" t="n">
        <v>109</v>
      </c>
      <c r="D4" t="n">
        <v>0</v>
      </c>
      <c r="E4" t="n">
        <v>0</v>
      </c>
      <c r="F4" t="n">
        <v>30</v>
      </c>
      <c r="G4" t="n">
        <v>139</v>
      </c>
      <c r="H4" t="n">
        <v>0</v>
      </c>
      <c r="I4" t="n">
        <v>0</v>
      </c>
      <c r="J4" t="n">
        <v>139</v>
      </c>
      <c r="K4" t="n">
        <v>0</v>
      </c>
      <c r="L4" t="n">
        <v>139</v>
      </c>
      <c r="M4" t="n">
        <v>139</v>
      </c>
      <c r="N4" t="n">
        <v>183.75</v>
      </c>
      <c r="P4" t="n">
        <v>339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127</v>
      </c>
      <c r="C5" t="n">
        <v>127</v>
      </c>
      <c r="D5" t="n">
        <v>0</v>
      </c>
      <c r="E5" t="n">
        <v>0</v>
      </c>
      <c r="F5" t="n">
        <v>139</v>
      </c>
      <c r="G5" t="n">
        <v>266</v>
      </c>
      <c r="H5" t="n">
        <v>0</v>
      </c>
      <c r="I5" t="n">
        <v>0</v>
      </c>
      <c r="J5" t="n">
        <v>266</v>
      </c>
      <c r="K5" t="n">
        <v>0</v>
      </c>
      <c r="L5" t="n">
        <v>266</v>
      </c>
      <c r="M5" t="n">
        <v>266</v>
      </c>
      <c r="N5" t="n">
        <v>449.75</v>
      </c>
      <c r="P5" t="n">
        <v>375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103</v>
      </c>
      <c r="C6" t="n">
        <v>103</v>
      </c>
      <c r="D6" t="n">
        <v>91</v>
      </c>
      <c r="E6" t="n">
        <v>0</v>
      </c>
      <c r="F6" t="n">
        <v>266</v>
      </c>
      <c r="G6" t="n">
        <v>369</v>
      </c>
      <c r="H6" t="n">
        <v>91</v>
      </c>
      <c r="I6" t="n">
        <v>0</v>
      </c>
      <c r="J6" t="n">
        <v>278</v>
      </c>
      <c r="K6" t="n">
        <v>0</v>
      </c>
      <c r="L6" t="n">
        <v>278</v>
      </c>
      <c r="M6" t="n">
        <v>278</v>
      </c>
      <c r="N6" t="n">
        <v>727.75</v>
      </c>
      <c r="P6" t="n">
        <v>369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151</v>
      </c>
      <c r="C7" t="n">
        <v>151</v>
      </c>
      <c r="D7" t="n">
        <v>109</v>
      </c>
      <c r="E7" t="n">
        <v>0</v>
      </c>
      <c r="F7" t="n">
        <v>278</v>
      </c>
      <c r="G7" t="n">
        <v>429</v>
      </c>
      <c r="H7" t="n">
        <v>109</v>
      </c>
      <c r="I7" t="n">
        <v>0</v>
      </c>
      <c r="J7" t="n">
        <v>320</v>
      </c>
      <c r="K7" t="n">
        <v>0</v>
      </c>
      <c r="L7" t="n">
        <v>320</v>
      </c>
      <c r="M7" t="n">
        <v>320</v>
      </c>
      <c r="N7" t="n">
        <v>1047.75</v>
      </c>
      <c r="P7" t="n">
        <v>420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97</v>
      </c>
      <c r="C8" t="n">
        <v>97</v>
      </c>
      <c r="D8" t="n">
        <v>100</v>
      </c>
      <c r="E8" t="n">
        <v>0</v>
      </c>
      <c r="F8" t="n">
        <v>320</v>
      </c>
      <c r="G8" t="n">
        <v>417</v>
      </c>
      <c r="H8" t="n">
        <v>100</v>
      </c>
      <c r="I8" t="n">
        <v>0</v>
      </c>
      <c r="J8" t="n">
        <v>317</v>
      </c>
      <c r="K8" t="n">
        <v>0</v>
      </c>
      <c r="L8" t="n">
        <v>317</v>
      </c>
      <c r="M8" t="n">
        <v>317</v>
      </c>
      <c r="N8" t="n">
        <v>1364.75</v>
      </c>
      <c r="P8" t="n">
        <v>417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133</v>
      </c>
      <c r="C9" t="n">
        <v>133</v>
      </c>
      <c r="D9" t="n">
        <v>100</v>
      </c>
      <c r="E9" t="n">
        <v>0</v>
      </c>
      <c r="F9" t="n">
        <v>317</v>
      </c>
      <c r="G9" t="n">
        <v>450</v>
      </c>
      <c r="H9" t="n">
        <v>100</v>
      </c>
      <c r="I9" t="n">
        <v>0</v>
      </c>
      <c r="J9" t="n">
        <v>350</v>
      </c>
      <c r="K9" t="n">
        <v>0</v>
      </c>
      <c r="L9" t="n">
        <v>350</v>
      </c>
      <c r="M9" t="n">
        <v>350</v>
      </c>
      <c r="N9" t="n">
        <v>1714.75</v>
      </c>
      <c r="P9" t="n">
        <v>459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115</v>
      </c>
      <c r="C10" t="n">
        <v>115</v>
      </c>
      <c r="D10" t="n">
        <v>91</v>
      </c>
      <c r="E10" t="n">
        <v>0</v>
      </c>
      <c r="F10" t="n">
        <v>350</v>
      </c>
      <c r="G10" t="n">
        <v>465</v>
      </c>
      <c r="H10" t="n">
        <v>91</v>
      </c>
      <c r="I10" t="n">
        <v>0</v>
      </c>
      <c r="J10" t="n">
        <v>374</v>
      </c>
      <c r="K10" t="n">
        <v>0</v>
      </c>
      <c r="L10" t="n">
        <v>374</v>
      </c>
      <c r="M10" t="n">
        <v>374</v>
      </c>
      <c r="N10" t="n">
        <v>2088.75</v>
      </c>
      <c r="P10" t="n">
        <v>353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121</v>
      </c>
      <c r="C11" t="n">
        <v>121</v>
      </c>
      <c r="D11" t="n">
        <v>221</v>
      </c>
      <c r="E11" t="n">
        <v>0</v>
      </c>
      <c r="F11" t="n">
        <v>374</v>
      </c>
      <c r="G11" t="n">
        <v>495</v>
      </c>
      <c r="H11" t="n">
        <v>221</v>
      </c>
      <c r="I11" t="n">
        <v>0</v>
      </c>
      <c r="J11" t="n">
        <v>274</v>
      </c>
      <c r="K11" t="n">
        <v>0</v>
      </c>
      <c r="L11" t="n">
        <v>274</v>
      </c>
      <c r="M11" t="n">
        <v>274</v>
      </c>
      <c r="N11" t="n">
        <v>2362.75</v>
      </c>
      <c r="P11" t="n">
        <v>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85</v>
      </c>
      <c r="C12" t="n">
        <v>85</v>
      </c>
      <c r="D12" t="n">
        <v>388</v>
      </c>
      <c r="E12" t="n">
        <v>0</v>
      </c>
      <c r="F12" t="n">
        <v>274</v>
      </c>
      <c r="G12" t="n">
        <v>359</v>
      </c>
      <c r="H12" t="n">
        <v>359</v>
      </c>
      <c r="I12" t="n">
        <v>29</v>
      </c>
      <c r="J12" t="n">
        <v>0</v>
      </c>
      <c r="K12" t="n">
        <v>7.25</v>
      </c>
      <c r="L12" t="n">
        <v>0</v>
      </c>
      <c r="M12" t="n">
        <v>7.25</v>
      </c>
      <c r="N12" t="n">
        <v>2370</v>
      </c>
      <c r="P12" t="n">
        <v>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145</v>
      </c>
      <c r="C13" t="n">
        <v>145</v>
      </c>
      <c r="D13" t="n">
        <v>200</v>
      </c>
      <c r="E13" t="n">
        <v>29</v>
      </c>
      <c r="F13" t="n">
        <v>0</v>
      </c>
      <c r="G13" t="n">
        <v>145</v>
      </c>
      <c r="H13" t="n">
        <v>145</v>
      </c>
      <c r="I13" t="n">
        <v>84</v>
      </c>
      <c r="J13" t="n">
        <v>0</v>
      </c>
      <c r="K13" t="n">
        <v>21</v>
      </c>
      <c r="L13" t="n">
        <v>0</v>
      </c>
      <c r="M13" t="n">
        <v>21</v>
      </c>
      <c r="N13" t="n">
        <v>2391</v>
      </c>
      <c r="P13" t="n">
        <v>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113</v>
      </c>
      <c r="C14" t="n">
        <v>113</v>
      </c>
      <c r="D14" t="n">
        <v>291</v>
      </c>
      <c r="E14" t="n">
        <v>84</v>
      </c>
      <c r="F14" t="n">
        <v>0</v>
      </c>
      <c r="G14" t="n">
        <v>113</v>
      </c>
      <c r="H14" t="n">
        <v>113</v>
      </c>
      <c r="I14" t="n">
        <v>262</v>
      </c>
      <c r="J14" t="n">
        <v>0</v>
      </c>
      <c r="K14" t="n">
        <v>65.5</v>
      </c>
      <c r="L14" t="n">
        <v>0</v>
      </c>
      <c r="M14" t="n">
        <v>65.5</v>
      </c>
      <c r="N14" t="n">
        <v>2456.5</v>
      </c>
      <c r="P14" t="n">
        <v>138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117</v>
      </c>
      <c r="C15" t="n">
        <v>117</v>
      </c>
      <c r="D15" t="n">
        <v>0</v>
      </c>
      <c r="E15" t="n">
        <v>262</v>
      </c>
      <c r="F15" t="n">
        <v>0</v>
      </c>
      <c r="G15" t="n">
        <v>117</v>
      </c>
      <c r="H15" t="n">
        <v>117</v>
      </c>
      <c r="I15" t="n">
        <v>145</v>
      </c>
      <c r="J15" t="n">
        <v>0</v>
      </c>
      <c r="K15" t="n">
        <v>36.25</v>
      </c>
      <c r="L15" t="n">
        <v>0</v>
      </c>
      <c r="M15" t="n">
        <v>36.25</v>
      </c>
      <c r="N15" t="n">
        <v>2492.75</v>
      </c>
      <c r="P15" t="n">
        <v>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101</v>
      </c>
      <c r="C16" t="n">
        <v>101</v>
      </c>
      <c r="D16" t="n">
        <v>72</v>
      </c>
      <c r="E16" t="n">
        <v>145</v>
      </c>
      <c r="F16" t="n">
        <v>0</v>
      </c>
      <c r="G16" t="n">
        <v>101</v>
      </c>
      <c r="H16" t="n">
        <v>101</v>
      </c>
      <c r="I16" t="n">
        <v>116</v>
      </c>
      <c r="J16" t="n">
        <v>0</v>
      </c>
      <c r="K16" t="n">
        <v>29</v>
      </c>
      <c r="L16" t="n">
        <v>0</v>
      </c>
      <c r="M16" t="n">
        <v>29</v>
      </c>
      <c r="N16" t="n">
        <v>2521.75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129</v>
      </c>
      <c r="C17" t="n">
        <v>129</v>
      </c>
      <c r="D17" t="n">
        <v>428</v>
      </c>
      <c r="E17" t="n">
        <v>116</v>
      </c>
      <c r="F17" t="n">
        <v>0</v>
      </c>
      <c r="G17" t="n">
        <v>129</v>
      </c>
      <c r="H17" t="n">
        <v>129</v>
      </c>
      <c r="I17" t="n">
        <v>415</v>
      </c>
      <c r="J17" t="n">
        <v>0</v>
      </c>
      <c r="K17" t="n">
        <v>103.75</v>
      </c>
      <c r="L17" t="n">
        <v>0</v>
      </c>
      <c r="M17" t="n">
        <v>103.75</v>
      </c>
      <c r="N17" t="n">
        <v>2625.5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105</v>
      </c>
      <c r="C18" t="n">
        <v>105</v>
      </c>
      <c r="D18" t="n">
        <v>72</v>
      </c>
      <c r="E18" t="n">
        <v>415</v>
      </c>
      <c r="F18" t="n">
        <v>0</v>
      </c>
      <c r="G18" t="n">
        <v>105</v>
      </c>
      <c r="H18" t="n">
        <v>105</v>
      </c>
      <c r="I18" t="n">
        <v>382</v>
      </c>
      <c r="J18" t="n">
        <v>0</v>
      </c>
      <c r="K18" t="n">
        <v>95.5</v>
      </c>
      <c r="L18" t="n">
        <v>0</v>
      </c>
      <c r="M18" t="n">
        <v>95.5</v>
      </c>
      <c r="N18" t="n">
        <v>2721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125</v>
      </c>
      <c r="C19" t="n">
        <v>125</v>
      </c>
      <c r="D19" t="n">
        <v>525</v>
      </c>
      <c r="E19" t="n">
        <v>382</v>
      </c>
      <c r="F19" t="n">
        <v>0</v>
      </c>
      <c r="G19" t="n">
        <v>125</v>
      </c>
      <c r="H19" t="n">
        <v>125</v>
      </c>
      <c r="I19" t="n">
        <v>782</v>
      </c>
      <c r="J19" t="n">
        <v>0</v>
      </c>
      <c r="K19" t="n">
        <v>195.5</v>
      </c>
      <c r="L19" t="n">
        <v>0</v>
      </c>
      <c r="M19" t="n">
        <v>195.5</v>
      </c>
      <c r="N19" t="n">
        <v>2916.5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79</v>
      </c>
      <c r="C20" t="n">
        <v>79</v>
      </c>
      <c r="D20" t="n">
        <v>868</v>
      </c>
      <c r="E20" t="n">
        <v>782</v>
      </c>
      <c r="F20" t="n">
        <v>0</v>
      </c>
      <c r="G20" t="n">
        <v>79</v>
      </c>
      <c r="H20" t="n">
        <v>79</v>
      </c>
      <c r="I20" t="n">
        <v>1571</v>
      </c>
      <c r="J20" t="n">
        <v>0</v>
      </c>
      <c r="K20" t="n">
        <v>392.75</v>
      </c>
      <c r="L20" t="n">
        <v>0</v>
      </c>
      <c r="M20" t="n">
        <v>392.75</v>
      </c>
      <c r="N20" t="n">
        <v>3309.25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163</v>
      </c>
      <c r="C21" t="n">
        <v>163</v>
      </c>
      <c r="D21" t="n">
        <v>0</v>
      </c>
      <c r="E21" t="n">
        <v>1571</v>
      </c>
      <c r="F21" t="n">
        <v>0</v>
      </c>
      <c r="G21" t="n">
        <v>163</v>
      </c>
      <c r="H21" t="n">
        <v>163</v>
      </c>
      <c r="I21" t="n">
        <v>1408</v>
      </c>
      <c r="J21" t="n">
        <v>0</v>
      </c>
      <c r="K21" t="n">
        <v>352</v>
      </c>
      <c r="L21" t="n">
        <v>0</v>
      </c>
      <c r="M21" t="n">
        <v>352</v>
      </c>
      <c r="N21" t="n">
        <v>3661.25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110</v>
      </c>
      <c r="C22" t="n">
        <v>110</v>
      </c>
      <c r="D22" t="n">
        <v>0</v>
      </c>
      <c r="E22" t="n">
        <v>1408</v>
      </c>
      <c r="F22" t="n">
        <v>0</v>
      </c>
      <c r="G22" t="n">
        <v>110</v>
      </c>
      <c r="H22" t="n">
        <v>110</v>
      </c>
      <c r="I22" t="n">
        <v>1298</v>
      </c>
      <c r="J22" t="n">
        <v>0</v>
      </c>
      <c r="K22" t="n">
        <v>324.5</v>
      </c>
      <c r="L22" t="n">
        <v>0</v>
      </c>
      <c r="M22" t="n">
        <v>324.5</v>
      </c>
      <c r="N22" t="n">
        <v>3985.75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120</v>
      </c>
      <c r="C23" t="n">
        <v>120</v>
      </c>
      <c r="D23" t="n">
        <v>0</v>
      </c>
      <c r="E23" t="n">
        <v>1298</v>
      </c>
      <c r="F23" t="n">
        <v>0</v>
      </c>
      <c r="G23" t="n">
        <v>120</v>
      </c>
      <c r="H23" t="n">
        <v>120</v>
      </c>
      <c r="I23" t="n">
        <v>1178</v>
      </c>
      <c r="J23" t="n">
        <v>0</v>
      </c>
      <c r="K23" t="n">
        <v>294.5</v>
      </c>
      <c r="L23" t="n">
        <v>0</v>
      </c>
      <c r="M23" t="n">
        <v>294.5</v>
      </c>
      <c r="N23" t="n">
        <v>4280.25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98</v>
      </c>
      <c r="C24" t="n">
        <v>98</v>
      </c>
      <c r="D24" t="n">
        <v>0</v>
      </c>
      <c r="E24" t="n">
        <v>1178</v>
      </c>
      <c r="F24" t="n">
        <v>0</v>
      </c>
      <c r="G24" t="n">
        <v>98</v>
      </c>
      <c r="H24" t="n">
        <v>98</v>
      </c>
      <c r="I24" t="n">
        <v>1080</v>
      </c>
      <c r="J24" t="n">
        <v>0</v>
      </c>
      <c r="K24" t="n">
        <v>270</v>
      </c>
      <c r="L24" t="n">
        <v>0</v>
      </c>
      <c r="M24" t="n">
        <v>270</v>
      </c>
      <c r="N24" t="n">
        <v>4550.25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132</v>
      </c>
      <c r="C25" t="n">
        <v>132</v>
      </c>
      <c r="D25" t="n">
        <v>0</v>
      </c>
      <c r="E25" t="n">
        <v>1080</v>
      </c>
      <c r="F25" t="n">
        <v>0</v>
      </c>
      <c r="G25" t="n">
        <v>132</v>
      </c>
      <c r="H25" t="n">
        <v>132</v>
      </c>
      <c r="I25" t="n">
        <v>948</v>
      </c>
      <c r="J25" t="n">
        <v>0</v>
      </c>
      <c r="K25" t="n">
        <v>237</v>
      </c>
      <c r="L25" t="n">
        <v>0</v>
      </c>
      <c r="M25" t="n">
        <v>237</v>
      </c>
      <c r="N25" t="n">
        <v>4787.25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108</v>
      </c>
      <c r="C26" t="n">
        <v>108</v>
      </c>
      <c r="D26" t="n">
        <v>0</v>
      </c>
      <c r="E26" t="n">
        <v>948</v>
      </c>
      <c r="F26" t="n">
        <v>0</v>
      </c>
      <c r="G26" t="n">
        <v>108</v>
      </c>
      <c r="H26" t="n">
        <v>108</v>
      </c>
      <c r="I26" t="n">
        <v>840</v>
      </c>
      <c r="J26" t="n">
        <v>0</v>
      </c>
      <c r="K26" t="n">
        <v>210</v>
      </c>
      <c r="L26" t="n">
        <v>0</v>
      </c>
      <c r="M26" t="n">
        <v>210</v>
      </c>
      <c r="N26" t="n">
        <v>4997.25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122</v>
      </c>
      <c r="C27" t="n">
        <v>122</v>
      </c>
      <c r="D27" t="n">
        <v>0</v>
      </c>
      <c r="E27" t="n">
        <v>840</v>
      </c>
      <c r="F27" t="n">
        <v>0</v>
      </c>
      <c r="G27" t="n">
        <v>122</v>
      </c>
      <c r="H27" t="n">
        <v>122</v>
      </c>
      <c r="I27" t="n">
        <v>718</v>
      </c>
      <c r="J27" t="n">
        <v>0</v>
      </c>
      <c r="K27" t="n">
        <v>179.5</v>
      </c>
      <c r="L27" t="n">
        <v>0</v>
      </c>
      <c r="M27" t="n">
        <v>179.5</v>
      </c>
      <c r="N27" t="n">
        <v>5176.75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93</v>
      </c>
      <c r="C28" t="n">
        <v>93</v>
      </c>
      <c r="D28" t="n">
        <v>0</v>
      </c>
      <c r="E28" t="n">
        <v>718</v>
      </c>
      <c r="F28" t="n">
        <v>0</v>
      </c>
      <c r="G28" t="n">
        <v>93</v>
      </c>
      <c r="H28" t="n">
        <v>93</v>
      </c>
      <c r="I28" t="n">
        <v>625</v>
      </c>
      <c r="J28" t="n">
        <v>0</v>
      </c>
      <c r="K28" t="n">
        <v>156.25</v>
      </c>
      <c r="L28" t="n">
        <v>0</v>
      </c>
      <c r="M28" t="n">
        <v>156.25</v>
      </c>
      <c r="N28" t="n">
        <v>5333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137</v>
      </c>
      <c r="C29" t="n">
        <v>137</v>
      </c>
      <c r="D29" t="n">
        <v>0</v>
      </c>
      <c r="E29" t="n">
        <v>625</v>
      </c>
      <c r="F29" t="n">
        <v>0</v>
      </c>
      <c r="G29" t="n">
        <v>137</v>
      </c>
      <c r="H29" t="n">
        <v>137</v>
      </c>
      <c r="I29" t="n">
        <v>488</v>
      </c>
      <c r="J29" t="n">
        <v>0</v>
      </c>
      <c r="K29" t="n">
        <v>122</v>
      </c>
      <c r="L29" t="n">
        <v>0</v>
      </c>
      <c r="M29" t="n">
        <v>122</v>
      </c>
      <c r="N29" t="n">
        <v>5455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111</v>
      </c>
      <c r="C30" t="n">
        <v>111</v>
      </c>
      <c r="D30" t="n">
        <v>0</v>
      </c>
      <c r="E30" t="n">
        <v>488</v>
      </c>
      <c r="F30" t="n">
        <v>0</v>
      </c>
      <c r="G30" t="n">
        <v>111</v>
      </c>
      <c r="H30" t="n">
        <v>111</v>
      </c>
      <c r="I30" t="n">
        <v>377</v>
      </c>
      <c r="J30" t="n">
        <v>0</v>
      </c>
      <c r="K30" t="n">
        <v>94.25</v>
      </c>
      <c r="L30" t="n">
        <v>0</v>
      </c>
      <c r="M30" t="n">
        <v>94.25</v>
      </c>
      <c r="N30" t="n">
        <v>5549.25</v>
      </c>
      <c r="P30" t="n">
        <v>123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119</v>
      </c>
      <c r="C31" t="n">
        <v>119</v>
      </c>
      <c r="D31" t="n">
        <v>0</v>
      </c>
      <c r="E31" t="n">
        <v>377</v>
      </c>
      <c r="F31" t="n">
        <v>0</v>
      </c>
      <c r="G31" t="n">
        <v>119</v>
      </c>
      <c r="H31" t="n">
        <v>119</v>
      </c>
      <c r="I31" t="n">
        <v>258</v>
      </c>
      <c r="J31" t="n">
        <v>0</v>
      </c>
      <c r="K31" t="n">
        <v>64.5</v>
      </c>
      <c r="L31" t="n">
        <v>0</v>
      </c>
      <c r="M31" t="n">
        <v>64.5</v>
      </c>
      <c r="N31" t="n">
        <v>5613.75</v>
      </c>
      <c r="P31" t="n">
        <v>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102</v>
      </c>
      <c r="C32" t="n">
        <v>102</v>
      </c>
      <c r="D32" t="n">
        <v>0</v>
      </c>
      <c r="E32" t="n">
        <v>258</v>
      </c>
      <c r="F32" t="n">
        <v>0</v>
      </c>
      <c r="G32" t="n">
        <v>102</v>
      </c>
      <c r="H32" t="n">
        <v>102</v>
      </c>
      <c r="I32" t="n">
        <v>156</v>
      </c>
      <c r="J32" t="n">
        <v>0</v>
      </c>
      <c r="K32" t="n">
        <v>39</v>
      </c>
      <c r="L32" t="n">
        <v>0</v>
      </c>
      <c r="M32" t="n">
        <v>39</v>
      </c>
      <c r="N32" t="n">
        <v>5652.75</v>
      </c>
      <c r="P32" t="n">
        <v>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128</v>
      </c>
      <c r="C33" t="n">
        <v>128</v>
      </c>
      <c r="D33" t="n">
        <v>12</v>
      </c>
      <c r="E33" t="n">
        <v>156</v>
      </c>
      <c r="F33" t="n">
        <v>0</v>
      </c>
      <c r="G33" t="n">
        <v>128</v>
      </c>
      <c r="H33" t="n">
        <v>128</v>
      </c>
      <c r="I33" t="n">
        <v>40</v>
      </c>
      <c r="J33" t="n">
        <v>0</v>
      </c>
      <c r="K33" t="n">
        <v>10</v>
      </c>
      <c r="L33" t="n">
        <v>0</v>
      </c>
      <c r="M33" t="n">
        <v>10</v>
      </c>
      <c r="N33" t="n">
        <v>5662.75</v>
      </c>
      <c r="P33" t="n">
        <v>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107</v>
      </c>
      <c r="C34" t="n">
        <v>107</v>
      </c>
      <c r="D34" t="n">
        <v>123</v>
      </c>
      <c r="E34" t="n">
        <v>40</v>
      </c>
      <c r="F34" t="n">
        <v>0</v>
      </c>
      <c r="G34" t="n">
        <v>107</v>
      </c>
      <c r="H34" t="n">
        <v>107</v>
      </c>
      <c r="I34" t="n">
        <v>56</v>
      </c>
      <c r="J34" t="n">
        <v>0</v>
      </c>
      <c r="K34" t="n">
        <v>14</v>
      </c>
      <c r="L34" t="n">
        <v>0</v>
      </c>
      <c r="M34" t="n">
        <v>14</v>
      </c>
      <c r="N34" t="n">
        <v>5676.75</v>
      </c>
      <c r="P34" t="n">
        <v>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123</v>
      </c>
      <c r="C35" t="n">
        <v>123</v>
      </c>
      <c r="D35" t="n">
        <v>242</v>
      </c>
      <c r="E35" t="n">
        <v>56</v>
      </c>
      <c r="F35" t="n">
        <v>0</v>
      </c>
      <c r="G35" t="n">
        <v>123</v>
      </c>
      <c r="H35" t="n">
        <v>123</v>
      </c>
      <c r="I35" t="n">
        <v>175</v>
      </c>
      <c r="J35" t="n">
        <v>0</v>
      </c>
      <c r="K35" t="n">
        <v>43.75</v>
      </c>
      <c r="L35" t="n">
        <v>0</v>
      </c>
      <c r="M35" t="n">
        <v>43.75</v>
      </c>
      <c r="N35" t="n">
        <v>5720.5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67</v>
      </c>
      <c r="C36" t="n">
        <v>67</v>
      </c>
      <c r="D36" t="n">
        <v>332</v>
      </c>
      <c r="E36" t="n">
        <v>175</v>
      </c>
      <c r="F36" t="n">
        <v>0</v>
      </c>
      <c r="G36" t="n">
        <v>67</v>
      </c>
      <c r="H36" t="n">
        <v>67</v>
      </c>
      <c r="I36" t="n">
        <v>440</v>
      </c>
      <c r="J36" t="n">
        <v>0</v>
      </c>
      <c r="K36" t="n">
        <v>110</v>
      </c>
      <c r="L36" t="n">
        <v>0</v>
      </c>
      <c r="M36" t="n">
        <v>110</v>
      </c>
      <c r="N36" t="n">
        <v>5830.5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91</v>
      </c>
      <c r="C4" t="n">
        <v>91</v>
      </c>
      <c r="D4" t="n">
        <v>0</v>
      </c>
      <c r="E4" t="n">
        <v>200</v>
      </c>
      <c r="F4" t="n">
        <v>0</v>
      </c>
      <c r="G4" t="n">
        <v>91</v>
      </c>
      <c r="H4" t="n">
        <v>91</v>
      </c>
      <c r="I4" t="n">
        <v>109</v>
      </c>
      <c r="J4" t="n">
        <v>0</v>
      </c>
      <c r="K4" t="n">
        <v>27.25</v>
      </c>
      <c r="L4" t="n">
        <v>0</v>
      </c>
      <c r="M4" t="n">
        <v>27.25</v>
      </c>
      <c r="N4" t="n">
        <v>114.75</v>
      </c>
      <c r="P4" t="n">
        <v>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230</v>
      </c>
      <c r="C5" t="n">
        <v>230</v>
      </c>
      <c r="D5" t="n">
        <v>0</v>
      </c>
      <c r="E5" t="n">
        <v>109</v>
      </c>
      <c r="F5" t="n">
        <v>0</v>
      </c>
      <c r="G5" t="n">
        <v>230</v>
      </c>
      <c r="H5" t="n">
        <v>109</v>
      </c>
      <c r="I5" t="n">
        <v>0</v>
      </c>
      <c r="J5" t="n">
        <v>121</v>
      </c>
      <c r="K5" t="n">
        <v>0</v>
      </c>
      <c r="L5" t="n">
        <v>121</v>
      </c>
      <c r="M5" t="n">
        <v>121</v>
      </c>
      <c r="N5" t="n">
        <v>235.75</v>
      </c>
      <c r="P5" t="n">
        <v>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339</v>
      </c>
      <c r="C6" t="n">
        <v>339</v>
      </c>
      <c r="D6" t="n">
        <v>100</v>
      </c>
      <c r="E6" t="n">
        <v>0</v>
      </c>
      <c r="F6" t="n">
        <v>121</v>
      </c>
      <c r="G6" t="n">
        <v>460</v>
      </c>
      <c r="H6" t="n">
        <v>100</v>
      </c>
      <c r="I6" t="n">
        <v>0</v>
      </c>
      <c r="J6" t="n">
        <v>360</v>
      </c>
      <c r="K6" t="n">
        <v>0</v>
      </c>
      <c r="L6" t="n">
        <v>360</v>
      </c>
      <c r="M6" t="n">
        <v>360</v>
      </c>
      <c r="N6" t="n">
        <v>595.75</v>
      </c>
      <c r="P6" t="n">
        <v>460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375</v>
      </c>
      <c r="C7" t="n">
        <v>375</v>
      </c>
      <c r="D7" t="n">
        <v>100</v>
      </c>
      <c r="E7" t="n">
        <v>0</v>
      </c>
      <c r="F7" t="n">
        <v>360</v>
      </c>
      <c r="G7" t="n">
        <v>735</v>
      </c>
      <c r="H7" t="n">
        <v>100</v>
      </c>
      <c r="I7" t="n">
        <v>0</v>
      </c>
      <c r="J7" t="n">
        <v>635</v>
      </c>
      <c r="K7" t="n">
        <v>0</v>
      </c>
      <c r="L7" t="n">
        <v>635</v>
      </c>
      <c r="M7" t="n">
        <v>635</v>
      </c>
      <c r="N7" t="n">
        <v>1230.75</v>
      </c>
      <c r="P7" t="n">
        <v>744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369</v>
      </c>
      <c r="C8" t="n">
        <v>369</v>
      </c>
      <c r="D8" t="n">
        <v>91</v>
      </c>
      <c r="E8" t="n">
        <v>0</v>
      </c>
      <c r="F8" t="n">
        <v>635</v>
      </c>
      <c r="G8" t="n">
        <v>1004</v>
      </c>
      <c r="H8" t="n">
        <v>91</v>
      </c>
      <c r="I8" t="n">
        <v>0</v>
      </c>
      <c r="J8" t="n">
        <v>913</v>
      </c>
      <c r="K8" t="n">
        <v>0</v>
      </c>
      <c r="L8" t="n">
        <v>913</v>
      </c>
      <c r="M8" t="n">
        <v>913</v>
      </c>
      <c r="N8" t="n">
        <v>2143.75</v>
      </c>
      <c r="P8" t="n">
        <v>892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420</v>
      </c>
      <c r="C9" t="n">
        <v>420</v>
      </c>
      <c r="D9" t="n">
        <v>221</v>
      </c>
      <c r="E9" t="n">
        <v>0</v>
      </c>
      <c r="F9" t="n">
        <v>913</v>
      </c>
      <c r="G9" t="n">
        <v>1333</v>
      </c>
      <c r="H9" t="n">
        <v>221</v>
      </c>
      <c r="I9" t="n">
        <v>0</v>
      </c>
      <c r="J9" t="n">
        <v>1112</v>
      </c>
      <c r="K9" t="n">
        <v>0</v>
      </c>
      <c r="L9" t="n">
        <v>1112</v>
      </c>
      <c r="M9" t="n">
        <v>1112</v>
      </c>
      <c r="N9" t="n">
        <v>3255.75</v>
      </c>
      <c r="P9" t="n">
        <v>924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417</v>
      </c>
      <c r="C10" t="n">
        <v>417</v>
      </c>
      <c r="D10" t="n">
        <v>388</v>
      </c>
      <c r="E10" t="n">
        <v>0</v>
      </c>
      <c r="F10" t="n">
        <v>1112</v>
      </c>
      <c r="G10" t="n">
        <v>1529</v>
      </c>
      <c r="H10" t="n">
        <v>388</v>
      </c>
      <c r="I10" t="n">
        <v>0</v>
      </c>
      <c r="J10" t="n">
        <v>1141</v>
      </c>
      <c r="K10" t="n">
        <v>0</v>
      </c>
      <c r="L10" t="n">
        <v>1141</v>
      </c>
      <c r="M10" t="n">
        <v>1141</v>
      </c>
      <c r="N10" t="n">
        <v>4396.75</v>
      </c>
      <c r="P10" t="n">
        <v>1141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459</v>
      </c>
      <c r="C11" t="n">
        <v>459</v>
      </c>
      <c r="D11" t="n">
        <v>200</v>
      </c>
      <c r="E11" t="n">
        <v>0</v>
      </c>
      <c r="F11" t="n">
        <v>1141</v>
      </c>
      <c r="G11" t="n">
        <v>1600</v>
      </c>
      <c r="H11" t="n">
        <v>200</v>
      </c>
      <c r="I11" t="n">
        <v>0</v>
      </c>
      <c r="J11" t="n">
        <v>1400</v>
      </c>
      <c r="K11" t="n">
        <v>0</v>
      </c>
      <c r="L11" t="n">
        <v>1400</v>
      </c>
      <c r="M11" t="n">
        <v>1400</v>
      </c>
      <c r="N11" t="n">
        <v>5796.75</v>
      </c>
      <c r="P11" t="n">
        <v>1309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353</v>
      </c>
      <c r="C12" t="n">
        <v>353</v>
      </c>
      <c r="D12" t="n">
        <v>291</v>
      </c>
      <c r="E12" t="n">
        <v>0</v>
      </c>
      <c r="F12" t="n">
        <v>1400</v>
      </c>
      <c r="G12" t="n">
        <v>1753</v>
      </c>
      <c r="H12" t="n">
        <v>291</v>
      </c>
      <c r="I12" t="n">
        <v>0</v>
      </c>
      <c r="J12" t="n">
        <v>1462</v>
      </c>
      <c r="K12" t="n">
        <v>0</v>
      </c>
      <c r="L12" t="n">
        <v>1462</v>
      </c>
      <c r="M12" t="n">
        <v>1462</v>
      </c>
      <c r="N12" t="n">
        <v>7258.75</v>
      </c>
      <c r="P12" t="n">
        <v>1662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86</v>
      </c>
      <c r="C13" t="n">
        <v>86</v>
      </c>
      <c r="D13" t="n">
        <v>0</v>
      </c>
      <c r="E13" t="n">
        <v>0</v>
      </c>
      <c r="F13" t="n">
        <v>1462</v>
      </c>
      <c r="G13" t="n">
        <v>1548</v>
      </c>
      <c r="H13" t="n">
        <v>0</v>
      </c>
      <c r="I13" t="n">
        <v>0</v>
      </c>
      <c r="J13" t="n">
        <v>1548</v>
      </c>
      <c r="K13" t="n">
        <v>0</v>
      </c>
      <c r="L13" t="n">
        <v>1548</v>
      </c>
      <c r="M13" t="n">
        <v>1548</v>
      </c>
      <c r="N13" t="n">
        <v>8806.75</v>
      </c>
      <c r="P13" t="n">
        <v>1676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71</v>
      </c>
      <c r="C14" t="n">
        <v>71</v>
      </c>
      <c r="D14" t="n">
        <v>72</v>
      </c>
      <c r="E14" t="n">
        <v>0</v>
      </c>
      <c r="F14" t="n">
        <v>1548</v>
      </c>
      <c r="G14" t="n">
        <v>1619</v>
      </c>
      <c r="H14" t="n">
        <v>72</v>
      </c>
      <c r="I14" t="n">
        <v>0</v>
      </c>
      <c r="J14" t="n">
        <v>1547</v>
      </c>
      <c r="K14" t="n">
        <v>0</v>
      </c>
      <c r="L14" t="n">
        <v>1547</v>
      </c>
      <c r="M14" t="n">
        <v>1547</v>
      </c>
      <c r="N14" t="n">
        <v>10353.75</v>
      </c>
      <c r="P14" t="n">
        <v>1319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25</v>
      </c>
      <c r="C15" t="n">
        <v>25</v>
      </c>
      <c r="D15" t="n">
        <v>428</v>
      </c>
      <c r="E15" t="n">
        <v>0</v>
      </c>
      <c r="F15" t="n">
        <v>1547</v>
      </c>
      <c r="G15" t="n">
        <v>1572</v>
      </c>
      <c r="H15" t="n">
        <v>428</v>
      </c>
      <c r="I15" t="n">
        <v>0</v>
      </c>
      <c r="J15" t="n">
        <v>1144</v>
      </c>
      <c r="K15" t="n">
        <v>0</v>
      </c>
      <c r="L15" t="n">
        <v>1144</v>
      </c>
      <c r="M15" t="n">
        <v>1144</v>
      </c>
      <c r="N15" t="n">
        <v>11497.75</v>
      </c>
      <c r="P15" t="n">
        <v>1372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138</v>
      </c>
      <c r="C16" t="n">
        <v>138</v>
      </c>
      <c r="D16" t="n">
        <v>72</v>
      </c>
      <c r="E16" t="n">
        <v>0</v>
      </c>
      <c r="F16" t="n">
        <v>1144</v>
      </c>
      <c r="G16" t="n">
        <v>1282</v>
      </c>
      <c r="H16" t="n">
        <v>72</v>
      </c>
      <c r="I16" t="n">
        <v>0</v>
      </c>
      <c r="J16" t="n">
        <v>1210</v>
      </c>
      <c r="K16" t="n">
        <v>0</v>
      </c>
      <c r="L16" t="n">
        <v>1210</v>
      </c>
      <c r="M16" t="n">
        <v>1210</v>
      </c>
      <c r="N16" t="n">
        <v>12707.75</v>
      </c>
      <c r="P16" t="n">
        <v>985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183</v>
      </c>
      <c r="C17" t="n">
        <v>183</v>
      </c>
      <c r="D17" t="n">
        <v>525</v>
      </c>
      <c r="E17" t="n">
        <v>0</v>
      </c>
      <c r="F17" t="n">
        <v>1210</v>
      </c>
      <c r="G17" t="n">
        <v>1393</v>
      </c>
      <c r="H17" t="n">
        <v>525</v>
      </c>
      <c r="I17" t="n">
        <v>0</v>
      </c>
      <c r="J17" t="n">
        <v>868</v>
      </c>
      <c r="K17" t="n">
        <v>0</v>
      </c>
      <c r="L17" t="n">
        <v>868</v>
      </c>
      <c r="M17" t="n">
        <v>868</v>
      </c>
      <c r="N17" t="n">
        <v>13575.75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1417</v>
      </c>
      <c r="E18" t="n">
        <v>0</v>
      </c>
      <c r="F18" t="n">
        <v>868</v>
      </c>
      <c r="G18" t="n">
        <v>868</v>
      </c>
      <c r="H18" t="n">
        <v>868</v>
      </c>
      <c r="I18" t="n">
        <v>549</v>
      </c>
      <c r="J18" t="n">
        <v>0</v>
      </c>
      <c r="K18" t="n">
        <v>137.25</v>
      </c>
      <c r="L18" t="n">
        <v>0</v>
      </c>
      <c r="M18" t="n">
        <v>137.25</v>
      </c>
      <c r="N18" t="n">
        <v>13713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2269</v>
      </c>
      <c r="E19" t="n">
        <v>549</v>
      </c>
      <c r="F19" t="n">
        <v>0</v>
      </c>
      <c r="G19" t="n">
        <v>0</v>
      </c>
      <c r="H19" t="n">
        <v>0</v>
      </c>
      <c r="I19" t="n">
        <v>2818</v>
      </c>
      <c r="J19" t="n">
        <v>0</v>
      </c>
      <c r="K19" t="n">
        <v>704.5</v>
      </c>
      <c r="L19" t="n">
        <v>0</v>
      </c>
      <c r="M19" t="n">
        <v>704.5</v>
      </c>
      <c r="N19" t="n">
        <v>14417.5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2982</v>
      </c>
      <c r="E20" t="n">
        <v>2818</v>
      </c>
      <c r="F20" t="n">
        <v>0</v>
      </c>
      <c r="G20" t="n">
        <v>0</v>
      </c>
      <c r="H20" t="n">
        <v>0</v>
      </c>
      <c r="I20" t="n">
        <v>5800</v>
      </c>
      <c r="J20" t="n">
        <v>0</v>
      </c>
      <c r="K20" t="n">
        <v>1450</v>
      </c>
      <c r="L20" t="n">
        <v>0</v>
      </c>
      <c r="M20" t="n">
        <v>1450</v>
      </c>
      <c r="N20" t="n">
        <v>15867.5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3840</v>
      </c>
      <c r="E21" t="n">
        <v>5800</v>
      </c>
      <c r="F21" t="n">
        <v>0</v>
      </c>
      <c r="G21" t="n">
        <v>0</v>
      </c>
      <c r="H21" t="n">
        <v>0</v>
      </c>
      <c r="I21" t="n">
        <v>9640</v>
      </c>
      <c r="J21" t="n">
        <v>0</v>
      </c>
      <c r="K21" t="n">
        <v>2410</v>
      </c>
      <c r="L21" t="n">
        <v>0</v>
      </c>
      <c r="M21" t="n">
        <v>2410</v>
      </c>
      <c r="N21" t="n">
        <v>18277.5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9640</v>
      </c>
      <c r="F22" t="n">
        <v>0</v>
      </c>
      <c r="G22" t="n">
        <v>0</v>
      </c>
      <c r="H22" t="n">
        <v>0</v>
      </c>
      <c r="I22" t="n">
        <v>9640</v>
      </c>
      <c r="J22" t="n">
        <v>0</v>
      </c>
      <c r="K22" t="n">
        <v>2410</v>
      </c>
      <c r="L22" t="n">
        <v>0</v>
      </c>
      <c r="M22" t="n">
        <v>2410</v>
      </c>
      <c r="N22" t="n">
        <v>20687.5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9640</v>
      </c>
      <c r="F23" t="n">
        <v>0</v>
      </c>
      <c r="G23" t="n">
        <v>0</v>
      </c>
      <c r="H23" t="n">
        <v>0</v>
      </c>
      <c r="I23" t="n">
        <v>9640</v>
      </c>
      <c r="J23" t="n">
        <v>0</v>
      </c>
      <c r="K23" t="n">
        <v>2410</v>
      </c>
      <c r="L23" t="n">
        <v>0</v>
      </c>
      <c r="M23" t="n">
        <v>2410</v>
      </c>
      <c r="N23" t="n">
        <v>23097.5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9640</v>
      </c>
      <c r="F24" t="n">
        <v>0</v>
      </c>
      <c r="G24" t="n">
        <v>0</v>
      </c>
      <c r="H24" t="n">
        <v>0</v>
      </c>
      <c r="I24" t="n">
        <v>9640</v>
      </c>
      <c r="J24" t="n">
        <v>0</v>
      </c>
      <c r="K24" t="n">
        <v>2410</v>
      </c>
      <c r="L24" t="n">
        <v>0</v>
      </c>
      <c r="M24" t="n">
        <v>2410</v>
      </c>
      <c r="N24" t="n">
        <v>25507.5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9640</v>
      </c>
      <c r="F25" t="n">
        <v>0</v>
      </c>
      <c r="G25" t="n">
        <v>0</v>
      </c>
      <c r="H25" t="n">
        <v>0</v>
      </c>
      <c r="I25" t="n">
        <v>9640</v>
      </c>
      <c r="J25" t="n">
        <v>0</v>
      </c>
      <c r="K25" t="n">
        <v>2410</v>
      </c>
      <c r="L25" t="n">
        <v>0</v>
      </c>
      <c r="M25" t="n">
        <v>2410</v>
      </c>
      <c r="N25" t="n">
        <v>27917.5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9640</v>
      </c>
      <c r="F26" t="n">
        <v>0</v>
      </c>
      <c r="G26" t="n">
        <v>0</v>
      </c>
      <c r="H26" t="n">
        <v>0</v>
      </c>
      <c r="I26" t="n">
        <v>9640</v>
      </c>
      <c r="J26" t="n">
        <v>0</v>
      </c>
      <c r="K26" t="n">
        <v>2410</v>
      </c>
      <c r="L26" t="n">
        <v>0</v>
      </c>
      <c r="M26" t="n">
        <v>2410</v>
      </c>
      <c r="N26" t="n">
        <v>30327.5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9640</v>
      </c>
      <c r="F27" t="n">
        <v>0</v>
      </c>
      <c r="G27" t="n">
        <v>0</v>
      </c>
      <c r="H27" t="n">
        <v>0</v>
      </c>
      <c r="I27" t="n">
        <v>9640</v>
      </c>
      <c r="J27" t="n">
        <v>0</v>
      </c>
      <c r="K27" t="n">
        <v>2410</v>
      </c>
      <c r="L27" t="n">
        <v>0</v>
      </c>
      <c r="M27" t="n">
        <v>2410</v>
      </c>
      <c r="N27" t="n">
        <v>32737.5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9640</v>
      </c>
      <c r="F28" t="n">
        <v>0</v>
      </c>
      <c r="G28" t="n">
        <v>0</v>
      </c>
      <c r="H28" t="n">
        <v>0</v>
      </c>
      <c r="I28" t="n">
        <v>9640</v>
      </c>
      <c r="J28" t="n">
        <v>0</v>
      </c>
      <c r="K28" t="n">
        <v>2410</v>
      </c>
      <c r="L28" t="n">
        <v>0</v>
      </c>
      <c r="M28" t="n">
        <v>2410</v>
      </c>
      <c r="N28" t="n">
        <v>35147.5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9640</v>
      </c>
      <c r="F29" t="n">
        <v>0</v>
      </c>
      <c r="G29" t="n">
        <v>0</v>
      </c>
      <c r="H29" t="n">
        <v>0</v>
      </c>
      <c r="I29" t="n">
        <v>9640</v>
      </c>
      <c r="J29" t="n">
        <v>0</v>
      </c>
      <c r="K29" t="n">
        <v>2410</v>
      </c>
      <c r="L29" t="n">
        <v>0</v>
      </c>
      <c r="M29" t="n">
        <v>2410</v>
      </c>
      <c r="N29" t="n">
        <v>37557.5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9640</v>
      </c>
      <c r="F30" t="n">
        <v>0</v>
      </c>
      <c r="G30" t="n">
        <v>0</v>
      </c>
      <c r="H30" t="n">
        <v>0</v>
      </c>
      <c r="I30" t="n">
        <v>9640</v>
      </c>
      <c r="J30" t="n">
        <v>0</v>
      </c>
      <c r="K30" t="n">
        <v>2410</v>
      </c>
      <c r="L30" t="n">
        <v>0</v>
      </c>
      <c r="M30" t="n">
        <v>2410</v>
      </c>
      <c r="N30" t="n">
        <v>39967.5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12</v>
      </c>
      <c r="C31" t="n">
        <v>12</v>
      </c>
      <c r="D31" t="n">
        <v>0</v>
      </c>
      <c r="E31" t="n">
        <v>9640</v>
      </c>
      <c r="F31" t="n">
        <v>0</v>
      </c>
      <c r="G31" t="n">
        <v>12</v>
      </c>
      <c r="H31" t="n">
        <v>12</v>
      </c>
      <c r="I31" t="n">
        <v>9628</v>
      </c>
      <c r="J31" t="n">
        <v>0</v>
      </c>
      <c r="K31" t="n">
        <v>2407</v>
      </c>
      <c r="L31" t="n">
        <v>0</v>
      </c>
      <c r="M31" t="n">
        <v>2407</v>
      </c>
      <c r="N31" t="n">
        <v>42374.5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123</v>
      </c>
      <c r="C32" t="n">
        <v>123</v>
      </c>
      <c r="D32" t="n">
        <v>0</v>
      </c>
      <c r="E32" t="n">
        <v>9628</v>
      </c>
      <c r="F32" t="n">
        <v>0</v>
      </c>
      <c r="G32" t="n">
        <v>123</v>
      </c>
      <c r="H32" t="n">
        <v>123</v>
      </c>
      <c r="I32" t="n">
        <v>9505</v>
      </c>
      <c r="J32" t="n">
        <v>0</v>
      </c>
      <c r="K32" t="n">
        <v>2376.25</v>
      </c>
      <c r="L32" t="n">
        <v>0</v>
      </c>
      <c r="M32" t="n">
        <v>2376.25</v>
      </c>
      <c r="N32" t="n">
        <v>44750.75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242</v>
      </c>
      <c r="C33" t="n">
        <v>242</v>
      </c>
      <c r="D33" t="n">
        <v>0</v>
      </c>
      <c r="E33" t="n">
        <v>9505</v>
      </c>
      <c r="F33" t="n">
        <v>0</v>
      </c>
      <c r="G33" t="n">
        <v>242</v>
      </c>
      <c r="H33" t="n">
        <v>242</v>
      </c>
      <c r="I33" t="n">
        <v>9263</v>
      </c>
      <c r="J33" t="n">
        <v>0</v>
      </c>
      <c r="K33" t="n">
        <v>2315.75</v>
      </c>
      <c r="L33" t="n">
        <v>0</v>
      </c>
      <c r="M33" t="n">
        <v>2315.75</v>
      </c>
      <c r="N33" t="n">
        <v>47066.5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332</v>
      </c>
      <c r="C34" t="n">
        <v>332</v>
      </c>
      <c r="D34" t="n">
        <v>0</v>
      </c>
      <c r="E34" t="n">
        <v>9263</v>
      </c>
      <c r="F34" t="n">
        <v>0</v>
      </c>
      <c r="G34" t="n">
        <v>332</v>
      </c>
      <c r="H34" t="n">
        <v>332</v>
      </c>
      <c r="I34" t="n">
        <v>8931</v>
      </c>
      <c r="J34" t="n">
        <v>0</v>
      </c>
      <c r="K34" t="n">
        <v>2232.75</v>
      </c>
      <c r="L34" t="n">
        <v>0</v>
      </c>
      <c r="M34" t="n">
        <v>2232.75</v>
      </c>
      <c r="N34" t="n">
        <v>49299.25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337</v>
      </c>
      <c r="C35" t="n">
        <v>337</v>
      </c>
      <c r="D35" t="n">
        <v>0</v>
      </c>
      <c r="E35" t="n">
        <v>8931</v>
      </c>
      <c r="F35" t="n">
        <v>0</v>
      </c>
      <c r="G35" t="n">
        <v>337</v>
      </c>
      <c r="H35" t="n">
        <v>337</v>
      </c>
      <c r="I35" t="n">
        <v>8594</v>
      </c>
      <c r="J35" t="n">
        <v>0</v>
      </c>
      <c r="K35" t="n">
        <v>2148.5</v>
      </c>
      <c r="L35" t="n">
        <v>0</v>
      </c>
      <c r="M35" t="n">
        <v>2148.5</v>
      </c>
      <c r="N35" t="n">
        <v>51447.75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202</v>
      </c>
      <c r="C36" t="n">
        <v>202</v>
      </c>
      <c r="D36" t="n">
        <v>0</v>
      </c>
      <c r="E36" t="n">
        <v>8594</v>
      </c>
      <c r="F36" t="n">
        <v>0</v>
      </c>
      <c r="G36" t="n">
        <v>202</v>
      </c>
      <c r="H36" t="n">
        <v>202</v>
      </c>
      <c r="I36" t="n">
        <v>8392</v>
      </c>
      <c r="J36" t="n">
        <v>0</v>
      </c>
      <c r="K36" t="n">
        <v>2098</v>
      </c>
      <c r="L36" t="n">
        <v>0</v>
      </c>
      <c r="M36" t="n">
        <v>2098</v>
      </c>
      <c r="N36" t="n">
        <v>53545.75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200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200</v>
      </c>
      <c r="F4" t="n">
        <v>0</v>
      </c>
      <c r="G4" t="n">
        <v>100</v>
      </c>
      <c r="H4" t="n">
        <v>100</v>
      </c>
      <c r="I4" t="n">
        <v>100</v>
      </c>
      <c r="J4" t="n">
        <v>0</v>
      </c>
      <c r="K4" t="n">
        <v>25</v>
      </c>
      <c r="L4" t="n">
        <v>0</v>
      </c>
      <c r="M4" t="n">
        <v>25</v>
      </c>
      <c r="N4" t="n">
        <v>112.5</v>
      </c>
      <c r="P4" t="n">
        <v>300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100</v>
      </c>
      <c r="F5" t="n">
        <v>0</v>
      </c>
      <c r="G5" t="n">
        <v>100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91</v>
      </c>
      <c r="C6" t="n">
        <v>91</v>
      </c>
      <c r="D6" t="n">
        <v>200</v>
      </c>
      <c r="E6" t="n">
        <v>0</v>
      </c>
      <c r="F6" t="n">
        <v>0</v>
      </c>
      <c r="G6" t="n">
        <v>91</v>
      </c>
      <c r="H6" t="n">
        <v>91</v>
      </c>
      <c r="I6" t="n">
        <v>109</v>
      </c>
      <c r="J6" t="n">
        <v>0</v>
      </c>
      <c r="K6" t="n">
        <v>27.25</v>
      </c>
      <c r="L6" t="n">
        <v>0</v>
      </c>
      <c r="M6" t="n">
        <v>27.25</v>
      </c>
      <c r="N6" t="n">
        <v>139.75</v>
      </c>
      <c r="P6" t="n">
        <v>191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221</v>
      </c>
      <c r="C7" t="n">
        <v>221</v>
      </c>
      <c r="D7" t="n">
        <v>200</v>
      </c>
      <c r="E7" t="n">
        <v>109</v>
      </c>
      <c r="F7" t="n">
        <v>0</v>
      </c>
      <c r="G7" t="n">
        <v>221</v>
      </c>
      <c r="H7" t="n">
        <v>221</v>
      </c>
      <c r="I7" t="n">
        <v>88</v>
      </c>
      <c r="J7" t="n">
        <v>0</v>
      </c>
      <c r="K7" t="n">
        <v>22</v>
      </c>
      <c r="L7" t="n">
        <v>0</v>
      </c>
      <c r="M7" t="n">
        <v>22</v>
      </c>
      <c r="N7" t="n">
        <v>161.75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460</v>
      </c>
      <c r="C8" t="n">
        <v>460</v>
      </c>
      <c r="D8" t="n">
        <v>300</v>
      </c>
      <c r="E8" t="n">
        <v>88</v>
      </c>
      <c r="F8" t="n">
        <v>0</v>
      </c>
      <c r="G8" t="n">
        <v>460</v>
      </c>
      <c r="H8" t="n">
        <v>388</v>
      </c>
      <c r="I8" t="n">
        <v>0</v>
      </c>
      <c r="J8" t="n">
        <v>72</v>
      </c>
      <c r="K8" t="n">
        <v>0</v>
      </c>
      <c r="L8" t="n">
        <v>72</v>
      </c>
      <c r="M8" t="n">
        <v>72</v>
      </c>
      <c r="N8" t="n">
        <v>233.75</v>
      </c>
      <c r="P8" t="n">
        <v>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744</v>
      </c>
      <c r="C9" t="n">
        <v>744</v>
      </c>
      <c r="D9" t="n">
        <v>200</v>
      </c>
      <c r="E9" t="n">
        <v>0</v>
      </c>
      <c r="F9" t="n">
        <v>72</v>
      </c>
      <c r="G9" t="n">
        <v>816</v>
      </c>
      <c r="H9" t="n">
        <v>200</v>
      </c>
      <c r="I9" t="n">
        <v>0</v>
      </c>
      <c r="J9" t="n">
        <v>616</v>
      </c>
      <c r="K9" t="n">
        <v>0</v>
      </c>
      <c r="L9" t="n">
        <v>616</v>
      </c>
      <c r="M9" t="n">
        <v>616</v>
      </c>
      <c r="N9" t="n">
        <v>849.75</v>
      </c>
      <c r="P9" t="n">
        <v>525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892</v>
      </c>
      <c r="C10" t="n">
        <v>892</v>
      </c>
      <c r="D10" t="n">
        <v>291</v>
      </c>
      <c r="E10" t="n">
        <v>0</v>
      </c>
      <c r="F10" t="n">
        <v>616</v>
      </c>
      <c r="G10" t="n">
        <v>1508</v>
      </c>
      <c r="H10" t="n">
        <v>291</v>
      </c>
      <c r="I10" t="n">
        <v>0</v>
      </c>
      <c r="J10" t="n">
        <v>1217</v>
      </c>
      <c r="K10" t="n">
        <v>0</v>
      </c>
      <c r="L10" t="n">
        <v>1217</v>
      </c>
      <c r="M10" t="n">
        <v>1217</v>
      </c>
      <c r="N10" t="n">
        <v>2066.75</v>
      </c>
      <c r="P10" t="n">
        <v>1417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924</v>
      </c>
      <c r="C11" t="n">
        <v>924</v>
      </c>
      <c r="D11" t="n">
        <v>0</v>
      </c>
      <c r="E11" t="n">
        <v>0</v>
      </c>
      <c r="F11" t="n">
        <v>1217</v>
      </c>
      <c r="G11" t="n">
        <v>2141</v>
      </c>
      <c r="H11" t="n">
        <v>0</v>
      </c>
      <c r="I11" t="n">
        <v>0</v>
      </c>
      <c r="J11" t="n">
        <v>2141</v>
      </c>
      <c r="K11" t="n">
        <v>0</v>
      </c>
      <c r="L11" t="n">
        <v>2141</v>
      </c>
      <c r="M11" t="n">
        <v>2141</v>
      </c>
      <c r="N11" t="n">
        <v>4207.75</v>
      </c>
      <c r="P11" t="n">
        <v>2269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1141</v>
      </c>
      <c r="C12" t="n">
        <v>1141</v>
      </c>
      <c r="D12" t="n">
        <v>72</v>
      </c>
      <c r="E12" t="n">
        <v>0</v>
      </c>
      <c r="F12" t="n">
        <v>2141</v>
      </c>
      <c r="G12" t="n">
        <v>3282</v>
      </c>
      <c r="H12" t="n">
        <v>72</v>
      </c>
      <c r="I12" t="n">
        <v>0</v>
      </c>
      <c r="J12" t="n">
        <v>3210</v>
      </c>
      <c r="K12" t="n">
        <v>0</v>
      </c>
      <c r="L12" t="n">
        <v>3210</v>
      </c>
      <c r="M12" t="n">
        <v>3210</v>
      </c>
      <c r="N12" t="n">
        <v>7417.75</v>
      </c>
      <c r="P12" t="n">
        <v>2982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1309</v>
      </c>
      <c r="C13" t="n">
        <v>1309</v>
      </c>
      <c r="D13" t="n">
        <v>428</v>
      </c>
      <c r="E13" t="n">
        <v>0</v>
      </c>
      <c r="F13" t="n">
        <v>3210</v>
      </c>
      <c r="G13" t="n">
        <v>4519</v>
      </c>
      <c r="H13" t="n">
        <v>428</v>
      </c>
      <c r="I13" t="n">
        <v>0</v>
      </c>
      <c r="J13" t="n">
        <v>4091</v>
      </c>
      <c r="K13" t="n">
        <v>0</v>
      </c>
      <c r="L13" t="n">
        <v>4091</v>
      </c>
      <c r="M13" t="n">
        <v>4091</v>
      </c>
      <c r="N13" t="n">
        <v>11508.75</v>
      </c>
      <c r="P13" t="n">
        <v>4219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1662</v>
      </c>
      <c r="C14" t="n">
        <v>1662</v>
      </c>
      <c r="D14" t="n">
        <v>72</v>
      </c>
      <c r="E14" t="n">
        <v>0</v>
      </c>
      <c r="F14" t="n">
        <v>4091</v>
      </c>
      <c r="G14" t="n">
        <v>5753</v>
      </c>
      <c r="H14" t="n">
        <v>72</v>
      </c>
      <c r="I14" t="n">
        <v>0</v>
      </c>
      <c r="J14" t="n">
        <v>5681</v>
      </c>
      <c r="K14" t="n">
        <v>0</v>
      </c>
      <c r="L14" t="n">
        <v>5681</v>
      </c>
      <c r="M14" t="n">
        <v>5681</v>
      </c>
      <c r="N14" t="n">
        <v>17189.75</v>
      </c>
      <c r="P14" t="n">
        <v>5356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1676</v>
      </c>
      <c r="C15" t="n">
        <v>1676</v>
      </c>
      <c r="D15" t="n">
        <v>525</v>
      </c>
      <c r="E15" t="n">
        <v>0</v>
      </c>
      <c r="F15" t="n">
        <v>5681</v>
      </c>
      <c r="G15" t="n">
        <v>7357</v>
      </c>
      <c r="H15" t="n">
        <v>525</v>
      </c>
      <c r="I15" t="n">
        <v>0</v>
      </c>
      <c r="J15" t="n">
        <v>6832</v>
      </c>
      <c r="K15" t="n">
        <v>0</v>
      </c>
      <c r="L15" t="n">
        <v>6832</v>
      </c>
      <c r="M15" t="n">
        <v>6832</v>
      </c>
      <c r="N15" t="n">
        <v>24021.75</v>
      </c>
      <c r="P15" t="n">
        <v>5615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1319</v>
      </c>
      <c r="C16" t="n">
        <v>1319</v>
      </c>
      <c r="D16" t="n">
        <v>1417</v>
      </c>
      <c r="E16" t="n">
        <v>0</v>
      </c>
      <c r="F16" t="n">
        <v>6832</v>
      </c>
      <c r="G16" t="n">
        <v>8151</v>
      </c>
      <c r="H16" t="n">
        <v>1417</v>
      </c>
      <c r="I16" t="n">
        <v>0</v>
      </c>
      <c r="J16" t="n">
        <v>6734</v>
      </c>
      <c r="K16" t="n">
        <v>0</v>
      </c>
      <c r="L16" t="n">
        <v>6734</v>
      </c>
      <c r="M16" t="n">
        <v>6734</v>
      </c>
      <c r="N16" t="n">
        <v>30755.75</v>
      </c>
      <c r="P16" t="n">
        <v>4665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1372</v>
      </c>
      <c r="C17" t="n">
        <v>1372</v>
      </c>
      <c r="D17" t="n">
        <v>2269</v>
      </c>
      <c r="E17" t="n">
        <v>0</v>
      </c>
      <c r="F17" t="n">
        <v>6734</v>
      </c>
      <c r="G17" t="n">
        <v>8106</v>
      </c>
      <c r="H17" t="n">
        <v>2269</v>
      </c>
      <c r="I17" t="n">
        <v>0</v>
      </c>
      <c r="J17" t="n">
        <v>5837</v>
      </c>
      <c r="K17" t="n">
        <v>0</v>
      </c>
      <c r="L17" t="n">
        <v>5837</v>
      </c>
      <c r="M17" t="n">
        <v>5837</v>
      </c>
      <c r="N17" t="n">
        <v>36592.75</v>
      </c>
      <c r="P17" t="n">
        <v>3055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985</v>
      </c>
      <c r="C18" t="n">
        <v>985</v>
      </c>
      <c r="D18" t="n">
        <v>2982</v>
      </c>
      <c r="E18" t="n">
        <v>0</v>
      </c>
      <c r="F18" t="n">
        <v>5837</v>
      </c>
      <c r="G18" t="n">
        <v>6822</v>
      </c>
      <c r="H18" t="n">
        <v>2982</v>
      </c>
      <c r="I18" t="n">
        <v>0</v>
      </c>
      <c r="J18" t="n">
        <v>3840</v>
      </c>
      <c r="K18" t="n">
        <v>0</v>
      </c>
      <c r="L18" t="n">
        <v>3840</v>
      </c>
      <c r="M18" t="n">
        <v>3840</v>
      </c>
      <c r="N18" t="n">
        <v>40432.75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4219</v>
      </c>
      <c r="E19" t="n">
        <v>0</v>
      </c>
      <c r="F19" t="n">
        <v>3840</v>
      </c>
      <c r="G19" t="n">
        <v>3840</v>
      </c>
      <c r="H19" t="n">
        <v>3840</v>
      </c>
      <c r="I19" t="n">
        <v>379</v>
      </c>
      <c r="J19" t="n">
        <v>0</v>
      </c>
      <c r="K19" t="n">
        <v>94.75</v>
      </c>
      <c r="L19" t="n">
        <v>0</v>
      </c>
      <c r="M19" t="n">
        <v>94.75</v>
      </c>
      <c r="N19" t="n">
        <v>40527.5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5356</v>
      </c>
      <c r="E20" t="n">
        <v>379</v>
      </c>
      <c r="F20" t="n">
        <v>0</v>
      </c>
      <c r="G20" t="n">
        <v>0</v>
      </c>
      <c r="H20" t="n">
        <v>0</v>
      </c>
      <c r="I20" t="n">
        <v>5735</v>
      </c>
      <c r="J20" t="n">
        <v>0</v>
      </c>
      <c r="K20" t="n">
        <v>1433.75</v>
      </c>
      <c r="L20" t="n">
        <v>0</v>
      </c>
      <c r="M20" t="n">
        <v>1433.75</v>
      </c>
      <c r="N20" t="n">
        <v>41961.25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5615</v>
      </c>
      <c r="E21" t="n">
        <v>5735</v>
      </c>
      <c r="F21" t="n">
        <v>0</v>
      </c>
      <c r="G21" t="n">
        <v>0</v>
      </c>
      <c r="H21" t="n">
        <v>0</v>
      </c>
      <c r="I21" t="n">
        <v>11350</v>
      </c>
      <c r="J21" t="n">
        <v>0</v>
      </c>
      <c r="K21" t="n">
        <v>2837.5</v>
      </c>
      <c r="L21" t="n">
        <v>0</v>
      </c>
      <c r="M21" t="n">
        <v>2837.5</v>
      </c>
      <c r="N21" t="n">
        <v>44798.75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4665</v>
      </c>
      <c r="E22" t="n">
        <v>11350</v>
      </c>
      <c r="F22" t="n">
        <v>0</v>
      </c>
      <c r="G22" t="n">
        <v>0</v>
      </c>
      <c r="H22" t="n">
        <v>0</v>
      </c>
      <c r="I22" t="n">
        <v>16015</v>
      </c>
      <c r="J22" t="n">
        <v>0</v>
      </c>
      <c r="K22" t="n">
        <v>4003.75</v>
      </c>
      <c r="L22" t="n">
        <v>0</v>
      </c>
      <c r="M22" t="n">
        <v>4003.75</v>
      </c>
      <c r="N22" t="n">
        <v>48802.5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2555</v>
      </c>
      <c r="E23" t="n">
        <v>16015</v>
      </c>
      <c r="F23" t="n">
        <v>0</v>
      </c>
      <c r="G23" t="n">
        <v>0</v>
      </c>
      <c r="H23" t="n">
        <v>0</v>
      </c>
      <c r="I23" t="n">
        <v>18570</v>
      </c>
      <c r="J23" t="n">
        <v>0</v>
      </c>
      <c r="K23" t="n">
        <v>4642.5</v>
      </c>
      <c r="L23" t="n">
        <v>0</v>
      </c>
      <c r="M23" t="n">
        <v>4642.5</v>
      </c>
      <c r="N23" t="n">
        <v>53445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18570</v>
      </c>
      <c r="F24" t="n">
        <v>0</v>
      </c>
      <c r="G24" t="n">
        <v>0</v>
      </c>
      <c r="H24" t="n">
        <v>0</v>
      </c>
      <c r="I24" t="n">
        <v>18570</v>
      </c>
      <c r="J24" t="n">
        <v>0</v>
      </c>
      <c r="K24" t="n">
        <v>4642.5</v>
      </c>
      <c r="L24" t="n">
        <v>0</v>
      </c>
      <c r="M24" t="n">
        <v>4642.5</v>
      </c>
      <c r="N24" t="n">
        <v>58087.5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18570</v>
      </c>
      <c r="F25" t="n">
        <v>0</v>
      </c>
      <c r="G25" t="n">
        <v>0</v>
      </c>
      <c r="H25" t="n">
        <v>0</v>
      </c>
      <c r="I25" t="n">
        <v>18570</v>
      </c>
      <c r="J25" t="n">
        <v>0</v>
      </c>
      <c r="K25" t="n">
        <v>4642.5</v>
      </c>
      <c r="L25" t="n">
        <v>0</v>
      </c>
      <c r="M25" t="n">
        <v>4642.5</v>
      </c>
      <c r="N25" t="n">
        <v>62730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18570</v>
      </c>
      <c r="F26" t="n">
        <v>0</v>
      </c>
      <c r="G26" t="n">
        <v>0</v>
      </c>
      <c r="H26" t="n">
        <v>0</v>
      </c>
      <c r="I26" t="n">
        <v>18570</v>
      </c>
      <c r="J26" t="n">
        <v>0</v>
      </c>
      <c r="K26" t="n">
        <v>4642.5</v>
      </c>
      <c r="L26" t="n">
        <v>0</v>
      </c>
      <c r="M26" t="n">
        <v>4642.5</v>
      </c>
      <c r="N26" t="n">
        <v>67372.5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18570</v>
      </c>
      <c r="F27" t="n">
        <v>0</v>
      </c>
      <c r="G27" t="n">
        <v>0</v>
      </c>
      <c r="H27" t="n">
        <v>0</v>
      </c>
      <c r="I27" t="n">
        <v>18570</v>
      </c>
      <c r="J27" t="n">
        <v>0</v>
      </c>
      <c r="K27" t="n">
        <v>4642.5</v>
      </c>
      <c r="L27" t="n">
        <v>0</v>
      </c>
      <c r="M27" t="n">
        <v>4642.5</v>
      </c>
      <c r="N27" t="n">
        <v>72015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18570</v>
      </c>
      <c r="F28" t="n">
        <v>0</v>
      </c>
      <c r="G28" t="n">
        <v>0</v>
      </c>
      <c r="H28" t="n">
        <v>0</v>
      </c>
      <c r="I28" t="n">
        <v>18570</v>
      </c>
      <c r="J28" t="n">
        <v>0</v>
      </c>
      <c r="K28" t="n">
        <v>4642.5</v>
      </c>
      <c r="L28" t="n">
        <v>0</v>
      </c>
      <c r="M28" t="n">
        <v>4642.5</v>
      </c>
      <c r="N28" t="n">
        <v>76657.5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18570</v>
      </c>
      <c r="F29" t="n">
        <v>0</v>
      </c>
      <c r="G29" t="n">
        <v>0</v>
      </c>
      <c r="H29" t="n">
        <v>0</v>
      </c>
      <c r="I29" t="n">
        <v>18570</v>
      </c>
      <c r="J29" t="n">
        <v>0</v>
      </c>
      <c r="K29" t="n">
        <v>4642.5</v>
      </c>
      <c r="L29" t="n">
        <v>0</v>
      </c>
      <c r="M29" t="n">
        <v>4642.5</v>
      </c>
      <c r="N29" t="n">
        <v>81300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18570</v>
      </c>
      <c r="F30" t="n">
        <v>0</v>
      </c>
      <c r="G30" t="n">
        <v>0</v>
      </c>
      <c r="H30" t="n">
        <v>0</v>
      </c>
      <c r="I30" t="n">
        <v>18570</v>
      </c>
      <c r="J30" t="n">
        <v>0</v>
      </c>
      <c r="K30" t="n">
        <v>4642.5</v>
      </c>
      <c r="L30" t="n">
        <v>0</v>
      </c>
      <c r="M30" t="n">
        <v>4642.5</v>
      </c>
      <c r="N30" t="n">
        <v>85942.5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18570</v>
      </c>
      <c r="F31" t="n">
        <v>0</v>
      </c>
      <c r="G31" t="n">
        <v>0</v>
      </c>
      <c r="H31" t="n">
        <v>0</v>
      </c>
      <c r="I31" t="n">
        <v>18570</v>
      </c>
      <c r="J31" t="n">
        <v>0</v>
      </c>
      <c r="K31" t="n">
        <v>4642.5</v>
      </c>
      <c r="L31" t="n">
        <v>0</v>
      </c>
      <c r="M31" t="n">
        <v>4642.5</v>
      </c>
      <c r="N31" t="n">
        <v>90585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18570</v>
      </c>
      <c r="F32" t="n">
        <v>0</v>
      </c>
      <c r="G32" t="n">
        <v>0</v>
      </c>
      <c r="H32" t="n">
        <v>0</v>
      </c>
      <c r="I32" t="n">
        <v>18570</v>
      </c>
      <c r="J32" t="n">
        <v>0</v>
      </c>
      <c r="K32" t="n">
        <v>4642.5</v>
      </c>
      <c r="L32" t="n">
        <v>0</v>
      </c>
      <c r="M32" t="n">
        <v>4642.5</v>
      </c>
      <c r="N32" t="n">
        <v>95227.5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18570</v>
      </c>
      <c r="F33" t="n">
        <v>0</v>
      </c>
      <c r="G33" t="n">
        <v>0</v>
      </c>
      <c r="H33" t="n">
        <v>0</v>
      </c>
      <c r="I33" t="n">
        <v>18570</v>
      </c>
      <c r="J33" t="n">
        <v>0</v>
      </c>
      <c r="K33" t="n">
        <v>4642.5</v>
      </c>
      <c r="L33" t="n">
        <v>0</v>
      </c>
      <c r="M33" t="n">
        <v>4642.5</v>
      </c>
      <c r="N33" t="n">
        <v>99870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18570</v>
      </c>
      <c r="F34" t="n">
        <v>0</v>
      </c>
      <c r="G34" t="n">
        <v>0</v>
      </c>
      <c r="H34" t="n">
        <v>0</v>
      </c>
      <c r="I34" t="n">
        <v>18570</v>
      </c>
      <c r="J34" t="n">
        <v>0</v>
      </c>
      <c r="K34" t="n">
        <v>4642.5</v>
      </c>
      <c r="L34" t="n">
        <v>0</v>
      </c>
      <c r="M34" t="n">
        <v>4642.5</v>
      </c>
      <c r="N34" t="n">
        <v>104512.5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18570</v>
      </c>
      <c r="F35" t="n">
        <v>0</v>
      </c>
      <c r="G35" t="n">
        <v>0</v>
      </c>
      <c r="H35" t="n">
        <v>0</v>
      </c>
      <c r="I35" t="n">
        <v>18570</v>
      </c>
      <c r="J35" t="n">
        <v>0</v>
      </c>
      <c r="K35" t="n">
        <v>4642.5</v>
      </c>
      <c r="L35" t="n">
        <v>0</v>
      </c>
      <c r="M35" t="n">
        <v>4642.5</v>
      </c>
      <c r="N35" t="n">
        <v>109155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18570</v>
      </c>
      <c r="F36" t="n">
        <v>0</v>
      </c>
      <c r="G36" t="n">
        <v>0</v>
      </c>
      <c r="H36" t="n">
        <v>0</v>
      </c>
      <c r="I36" t="n">
        <v>18570</v>
      </c>
      <c r="J36" t="n">
        <v>0</v>
      </c>
      <c r="K36" t="n">
        <v>4642.5</v>
      </c>
      <c r="L36" t="n">
        <v>0</v>
      </c>
      <c r="M36" t="n">
        <v>4642.5</v>
      </c>
      <c r="N36" t="n">
        <v>113797.5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300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200</v>
      </c>
      <c r="C4" t="n">
        <v>200</v>
      </c>
      <c r="D4" t="n">
        <v>300</v>
      </c>
      <c r="E4" t="n">
        <v>200</v>
      </c>
      <c r="F4" t="n">
        <v>0</v>
      </c>
      <c r="G4" t="n">
        <v>200</v>
      </c>
      <c r="H4" t="n">
        <v>200</v>
      </c>
      <c r="I4" t="n">
        <v>300</v>
      </c>
      <c r="J4" t="n">
        <v>0</v>
      </c>
      <c r="K4" t="n">
        <v>75</v>
      </c>
      <c r="L4" t="n">
        <v>0</v>
      </c>
      <c r="M4" t="n">
        <v>75</v>
      </c>
      <c r="N4" t="n">
        <v>162.5</v>
      </c>
      <c r="P4" t="n">
        <v>200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200</v>
      </c>
      <c r="C5" t="n">
        <v>200</v>
      </c>
      <c r="D5" t="n">
        <v>0</v>
      </c>
      <c r="E5" t="n">
        <v>300</v>
      </c>
      <c r="F5" t="n">
        <v>0</v>
      </c>
      <c r="G5" t="n">
        <v>200</v>
      </c>
      <c r="H5" t="n">
        <v>200</v>
      </c>
      <c r="I5" t="n">
        <v>100</v>
      </c>
      <c r="J5" t="n">
        <v>0</v>
      </c>
      <c r="K5" t="n">
        <v>25</v>
      </c>
      <c r="L5" t="n">
        <v>0</v>
      </c>
      <c r="M5" t="n">
        <v>25</v>
      </c>
      <c r="N5" t="n">
        <v>187.5</v>
      </c>
      <c r="P5" t="n">
        <v>200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300</v>
      </c>
      <c r="C6" t="n">
        <v>300</v>
      </c>
      <c r="D6" t="n">
        <v>200</v>
      </c>
      <c r="E6" t="n">
        <v>100</v>
      </c>
      <c r="F6" t="n">
        <v>0</v>
      </c>
      <c r="G6" t="n">
        <v>300</v>
      </c>
      <c r="H6" t="n">
        <v>300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187.5</v>
      </c>
      <c r="P6" t="n">
        <v>300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200</v>
      </c>
      <c r="E7" t="n">
        <v>0</v>
      </c>
      <c r="F7" t="n">
        <v>0</v>
      </c>
      <c r="G7" t="n">
        <v>300</v>
      </c>
      <c r="H7" t="n">
        <v>200</v>
      </c>
      <c r="I7" t="n">
        <v>0</v>
      </c>
      <c r="J7" t="n">
        <v>100</v>
      </c>
      <c r="K7" t="n">
        <v>0</v>
      </c>
      <c r="L7" t="n">
        <v>100</v>
      </c>
      <c r="M7" t="n">
        <v>100</v>
      </c>
      <c r="N7" t="n">
        <v>287.5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191</v>
      </c>
      <c r="C8" t="n">
        <v>191</v>
      </c>
      <c r="D8" t="n">
        <v>300</v>
      </c>
      <c r="E8" t="n">
        <v>0</v>
      </c>
      <c r="F8" t="n">
        <v>100</v>
      </c>
      <c r="G8" t="n">
        <v>291</v>
      </c>
      <c r="H8" t="n">
        <v>291</v>
      </c>
      <c r="I8" t="n">
        <v>9</v>
      </c>
      <c r="J8" t="n">
        <v>0</v>
      </c>
      <c r="K8" t="n">
        <v>2.25</v>
      </c>
      <c r="L8" t="n">
        <v>0</v>
      </c>
      <c r="M8" t="n">
        <v>2.25</v>
      </c>
      <c r="N8" t="n">
        <v>289.75</v>
      </c>
      <c r="P8" t="n">
        <v>191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0</v>
      </c>
      <c r="C9" t="n">
        <v>0</v>
      </c>
      <c r="D9" t="n">
        <v>300</v>
      </c>
      <c r="E9" t="n">
        <v>9</v>
      </c>
      <c r="F9" t="n">
        <v>0</v>
      </c>
      <c r="G9" t="n">
        <v>0</v>
      </c>
      <c r="H9" t="n">
        <v>0</v>
      </c>
      <c r="I9" t="n">
        <v>309</v>
      </c>
      <c r="J9" t="n">
        <v>0</v>
      </c>
      <c r="K9" t="n">
        <v>77.25</v>
      </c>
      <c r="L9" t="n">
        <v>0</v>
      </c>
      <c r="M9" t="n">
        <v>77.25</v>
      </c>
      <c r="N9" t="n">
        <v>367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72</v>
      </c>
      <c r="C10" t="n">
        <v>72</v>
      </c>
      <c r="D10" t="n">
        <v>191</v>
      </c>
      <c r="E10" t="n">
        <v>309</v>
      </c>
      <c r="F10" t="n">
        <v>0</v>
      </c>
      <c r="G10" t="n">
        <v>72</v>
      </c>
      <c r="H10" t="n">
        <v>72</v>
      </c>
      <c r="I10" t="n">
        <v>428</v>
      </c>
      <c r="J10" t="n">
        <v>0</v>
      </c>
      <c r="K10" t="n">
        <v>107</v>
      </c>
      <c r="L10" t="n">
        <v>0</v>
      </c>
      <c r="M10" t="n">
        <v>107</v>
      </c>
      <c r="N10" t="n">
        <v>474</v>
      </c>
      <c r="P10" t="n">
        <v>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525</v>
      </c>
      <c r="C11" t="n">
        <v>525</v>
      </c>
      <c r="D11" t="n">
        <v>0</v>
      </c>
      <c r="E11" t="n">
        <v>428</v>
      </c>
      <c r="F11" t="n">
        <v>0</v>
      </c>
      <c r="G11" t="n">
        <v>525</v>
      </c>
      <c r="H11" t="n">
        <v>428</v>
      </c>
      <c r="I11" t="n">
        <v>0</v>
      </c>
      <c r="J11" t="n">
        <v>97</v>
      </c>
      <c r="K11" t="n">
        <v>0</v>
      </c>
      <c r="L11" t="n">
        <v>97</v>
      </c>
      <c r="M11" t="n">
        <v>97</v>
      </c>
      <c r="N11" t="n">
        <v>571</v>
      </c>
      <c r="P11" t="n">
        <v>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1417</v>
      </c>
      <c r="C12" t="n">
        <v>1417</v>
      </c>
      <c r="D12" t="n">
        <v>72</v>
      </c>
      <c r="E12" t="n">
        <v>0</v>
      </c>
      <c r="F12" t="n">
        <v>97</v>
      </c>
      <c r="G12" t="n">
        <v>1514</v>
      </c>
      <c r="H12" t="n">
        <v>72</v>
      </c>
      <c r="I12" t="n">
        <v>0</v>
      </c>
      <c r="J12" t="n">
        <v>1442</v>
      </c>
      <c r="K12" t="n">
        <v>0</v>
      </c>
      <c r="L12" t="n">
        <v>1442</v>
      </c>
      <c r="M12" t="n">
        <v>1442</v>
      </c>
      <c r="N12" t="n">
        <v>2013</v>
      </c>
      <c r="P12" t="n">
        <v>1417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2269</v>
      </c>
      <c r="C13" t="n">
        <v>2269</v>
      </c>
      <c r="D13" t="n">
        <v>525</v>
      </c>
      <c r="E13" t="n">
        <v>0</v>
      </c>
      <c r="F13" t="n">
        <v>1442</v>
      </c>
      <c r="G13" t="n">
        <v>3711</v>
      </c>
      <c r="H13" t="n">
        <v>525</v>
      </c>
      <c r="I13" t="n">
        <v>0</v>
      </c>
      <c r="J13" t="n">
        <v>3186</v>
      </c>
      <c r="K13" t="n">
        <v>0</v>
      </c>
      <c r="L13" t="n">
        <v>3186</v>
      </c>
      <c r="M13" t="n">
        <v>3186</v>
      </c>
      <c r="N13" t="n">
        <v>5199</v>
      </c>
      <c r="P13" t="n">
        <v>2269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2982</v>
      </c>
      <c r="C14" t="n">
        <v>2982</v>
      </c>
      <c r="D14" t="n">
        <v>1417</v>
      </c>
      <c r="E14" t="n">
        <v>0</v>
      </c>
      <c r="F14" t="n">
        <v>3186</v>
      </c>
      <c r="G14" t="n">
        <v>6168</v>
      </c>
      <c r="H14" t="n">
        <v>1417</v>
      </c>
      <c r="I14" t="n">
        <v>0</v>
      </c>
      <c r="J14" t="n">
        <v>4751</v>
      </c>
      <c r="K14" t="n">
        <v>0</v>
      </c>
      <c r="L14" t="n">
        <v>4751</v>
      </c>
      <c r="M14" t="n">
        <v>4751</v>
      </c>
      <c r="N14" t="n">
        <v>9950</v>
      </c>
      <c r="P14" t="n">
        <v>2982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4219</v>
      </c>
      <c r="C15" t="n">
        <v>4219</v>
      </c>
      <c r="D15" t="n">
        <v>2269</v>
      </c>
      <c r="E15" t="n">
        <v>0</v>
      </c>
      <c r="F15" t="n">
        <v>4751</v>
      </c>
      <c r="G15" t="n">
        <v>8970</v>
      </c>
      <c r="H15" t="n">
        <v>2269</v>
      </c>
      <c r="I15" t="n">
        <v>0</v>
      </c>
      <c r="J15" t="n">
        <v>6701</v>
      </c>
      <c r="K15" t="n">
        <v>0</v>
      </c>
      <c r="L15" t="n">
        <v>6701</v>
      </c>
      <c r="M15" t="n">
        <v>6701</v>
      </c>
      <c r="N15" t="n">
        <v>16651</v>
      </c>
      <c r="P15" t="n">
        <v>4219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5356</v>
      </c>
      <c r="C16" t="n">
        <v>5356</v>
      </c>
      <c r="D16" t="n">
        <v>2982</v>
      </c>
      <c r="E16" t="n">
        <v>0</v>
      </c>
      <c r="F16" t="n">
        <v>6701</v>
      </c>
      <c r="G16" t="n">
        <v>12057</v>
      </c>
      <c r="H16" t="n">
        <v>2982</v>
      </c>
      <c r="I16" t="n">
        <v>0</v>
      </c>
      <c r="J16" t="n">
        <v>9075</v>
      </c>
      <c r="K16" t="n">
        <v>0</v>
      </c>
      <c r="L16" t="n">
        <v>9075</v>
      </c>
      <c r="M16" t="n">
        <v>9075</v>
      </c>
      <c r="N16" t="n">
        <v>25726</v>
      </c>
      <c r="P16" t="n">
        <v>5356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5615</v>
      </c>
      <c r="C17" t="n">
        <v>5615</v>
      </c>
      <c r="D17" t="n">
        <v>4219</v>
      </c>
      <c r="E17" t="n">
        <v>0</v>
      </c>
      <c r="F17" t="n">
        <v>9075</v>
      </c>
      <c r="G17" t="n">
        <v>14690</v>
      </c>
      <c r="H17" t="n">
        <v>4219</v>
      </c>
      <c r="I17" t="n">
        <v>0</v>
      </c>
      <c r="J17" t="n">
        <v>10471</v>
      </c>
      <c r="K17" t="n">
        <v>0</v>
      </c>
      <c r="L17" t="n">
        <v>10471</v>
      </c>
      <c r="M17" t="n">
        <v>10471</v>
      </c>
      <c r="N17" t="n">
        <v>36197</v>
      </c>
      <c r="P17" t="n">
        <v>5615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4665</v>
      </c>
      <c r="C18" t="n">
        <v>4665</v>
      </c>
      <c r="D18" t="n">
        <v>5356</v>
      </c>
      <c r="E18" t="n">
        <v>0</v>
      </c>
      <c r="F18" t="n">
        <v>10471</v>
      </c>
      <c r="G18" t="n">
        <v>15136</v>
      </c>
      <c r="H18" t="n">
        <v>5356</v>
      </c>
      <c r="I18" t="n">
        <v>0</v>
      </c>
      <c r="J18" t="n">
        <v>9780</v>
      </c>
      <c r="K18" t="n">
        <v>0</v>
      </c>
      <c r="L18" t="n">
        <v>9780</v>
      </c>
      <c r="M18" t="n">
        <v>9780</v>
      </c>
      <c r="N18" t="n">
        <v>45977</v>
      </c>
      <c r="P18" t="n">
        <v>4665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3055</v>
      </c>
      <c r="C19" t="n">
        <v>3055</v>
      </c>
      <c r="D19" t="n">
        <v>5615</v>
      </c>
      <c r="E19" t="n">
        <v>0</v>
      </c>
      <c r="F19" t="n">
        <v>9780</v>
      </c>
      <c r="G19" t="n">
        <v>12835</v>
      </c>
      <c r="H19" t="n">
        <v>5615</v>
      </c>
      <c r="I19" t="n">
        <v>0</v>
      </c>
      <c r="J19" t="n">
        <v>7220</v>
      </c>
      <c r="K19" t="n">
        <v>0</v>
      </c>
      <c r="L19" t="n">
        <v>7220</v>
      </c>
      <c r="M19" t="n">
        <v>7220</v>
      </c>
      <c r="N19" t="n">
        <v>53197</v>
      </c>
      <c r="P19" t="n">
        <v>2755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4665</v>
      </c>
      <c r="E20" t="n">
        <v>0</v>
      </c>
      <c r="F20" t="n">
        <v>7220</v>
      </c>
      <c r="G20" t="n">
        <v>7220</v>
      </c>
      <c r="H20" t="n">
        <v>4665</v>
      </c>
      <c r="I20" t="n">
        <v>0</v>
      </c>
      <c r="J20" t="n">
        <v>2555</v>
      </c>
      <c r="K20" t="n">
        <v>0</v>
      </c>
      <c r="L20" t="n">
        <v>2555</v>
      </c>
      <c r="M20" t="n">
        <v>2555</v>
      </c>
      <c r="N20" t="n">
        <v>55752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2755</v>
      </c>
      <c r="E21" t="n">
        <v>0</v>
      </c>
      <c r="F21" t="n">
        <v>2555</v>
      </c>
      <c r="G21" t="n">
        <v>2555</v>
      </c>
      <c r="H21" t="n">
        <v>2555</v>
      </c>
      <c r="I21" t="n">
        <v>200</v>
      </c>
      <c r="J21" t="n">
        <v>0</v>
      </c>
      <c r="K21" t="n">
        <v>50</v>
      </c>
      <c r="L21" t="n">
        <v>0</v>
      </c>
      <c r="M21" t="n">
        <v>50</v>
      </c>
      <c r="N21" t="n">
        <v>55802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200</v>
      </c>
      <c r="F22" t="n">
        <v>0</v>
      </c>
      <c r="G22" t="n">
        <v>0</v>
      </c>
      <c r="H22" t="n">
        <v>0</v>
      </c>
      <c r="I22" t="n">
        <v>200</v>
      </c>
      <c r="J22" t="n">
        <v>0</v>
      </c>
      <c r="K22" t="n">
        <v>50</v>
      </c>
      <c r="L22" t="n">
        <v>0</v>
      </c>
      <c r="M22" t="n">
        <v>50</v>
      </c>
      <c r="N22" t="n">
        <v>55852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200</v>
      </c>
      <c r="F23" t="n">
        <v>0</v>
      </c>
      <c r="G23" t="n">
        <v>0</v>
      </c>
      <c r="H23" t="n">
        <v>0</v>
      </c>
      <c r="I23" t="n">
        <v>200</v>
      </c>
      <c r="J23" t="n">
        <v>0</v>
      </c>
      <c r="K23" t="n">
        <v>50</v>
      </c>
      <c r="L23" t="n">
        <v>0</v>
      </c>
      <c r="M23" t="n">
        <v>50</v>
      </c>
      <c r="N23" t="n">
        <v>55902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200</v>
      </c>
      <c r="F24" t="n">
        <v>0</v>
      </c>
      <c r="G24" t="n">
        <v>0</v>
      </c>
      <c r="H24" t="n">
        <v>0</v>
      </c>
      <c r="I24" t="n">
        <v>200</v>
      </c>
      <c r="J24" t="n">
        <v>0</v>
      </c>
      <c r="K24" t="n">
        <v>50</v>
      </c>
      <c r="L24" t="n">
        <v>0</v>
      </c>
      <c r="M24" t="n">
        <v>50</v>
      </c>
      <c r="N24" t="n">
        <v>55952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200</v>
      </c>
      <c r="F25" t="n">
        <v>0</v>
      </c>
      <c r="G25" t="n">
        <v>0</v>
      </c>
      <c r="H25" t="n">
        <v>0</v>
      </c>
      <c r="I25" t="n">
        <v>200</v>
      </c>
      <c r="J25" t="n">
        <v>0</v>
      </c>
      <c r="K25" t="n">
        <v>50</v>
      </c>
      <c r="L25" t="n">
        <v>0</v>
      </c>
      <c r="M25" t="n">
        <v>50</v>
      </c>
      <c r="N25" t="n">
        <v>56002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200</v>
      </c>
      <c r="F26" t="n">
        <v>0</v>
      </c>
      <c r="G26" t="n">
        <v>0</v>
      </c>
      <c r="H26" t="n">
        <v>0</v>
      </c>
      <c r="I26" t="n">
        <v>200</v>
      </c>
      <c r="J26" t="n">
        <v>0</v>
      </c>
      <c r="K26" t="n">
        <v>50</v>
      </c>
      <c r="L26" t="n">
        <v>0</v>
      </c>
      <c r="M26" t="n">
        <v>50</v>
      </c>
      <c r="N26" t="n">
        <v>56052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200</v>
      </c>
      <c r="F27" t="n">
        <v>0</v>
      </c>
      <c r="G27" t="n">
        <v>0</v>
      </c>
      <c r="H27" t="n">
        <v>0</v>
      </c>
      <c r="I27" t="n">
        <v>200</v>
      </c>
      <c r="J27" t="n">
        <v>0</v>
      </c>
      <c r="K27" t="n">
        <v>50</v>
      </c>
      <c r="L27" t="n">
        <v>0</v>
      </c>
      <c r="M27" t="n">
        <v>50</v>
      </c>
      <c r="N27" t="n">
        <v>56102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200</v>
      </c>
      <c r="F28" t="n">
        <v>0</v>
      </c>
      <c r="G28" t="n">
        <v>0</v>
      </c>
      <c r="H28" t="n">
        <v>0</v>
      </c>
      <c r="I28" t="n">
        <v>200</v>
      </c>
      <c r="J28" t="n">
        <v>0</v>
      </c>
      <c r="K28" t="n">
        <v>50</v>
      </c>
      <c r="L28" t="n">
        <v>0</v>
      </c>
      <c r="M28" t="n">
        <v>50</v>
      </c>
      <c r="N28" t="n">
        <v>56152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200</v>
      </c>
      <c r="F29" t="n">
        <v>0</v>
      </c>
      <c r="G29" t="n">
        <v>0</v>
      </c>
      <c r="H29" t="n">
        <v>0</v>
      </c>
      <c r="I29" t="n">
        <v>200</v>
      </c>
      <c r="J29" t="n">
        <v>0</v>
      </c>
      <c r="K29" t="n">
        <v>50</v>
      </c>
      <c r="L29" t="n">
        <v>0</v>
      </c>
      <c r="M29" t="n">
        <v>50</v>
      </c>
      <c r="N29" t="n">
        <v>56202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200</v>
      </c>
      <c r="F30" t="n">
        <v>0</v>
      </c>
      <c r="G30" t="n">
        <v>0</v>
      </c>
      <c r="H30" t="n">
        <v>0</v>
      </c>
      <c r="I30" t="n">
        <v>200</v>
      </c>
      <c r="J30" t="n">
        <v>0</v>
      </c>
      <c r="K30" t="n">
        <v>50</v>
      </c>
      <c r="L30" t="n">
        <v>0</v>
      </c>
      <c r="M30" t="n">
        <v>50</v>
      </c>
      <c r="N30" t="n">
        <v>56252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200</v>
      </c>
      <c r="F31" t="n">
        <v>0</v>
      </c>
      <c r="G31" t="n">
        <v>0</v>
      </c>
      <c r="H31" t="n">
        <v>0</v>
      </c>
      <c r="I31" t="n">
        <v>200</v>
      </c>
      <c r="J31" t="n">
        <v>0</v>
      </c>
      <c r="K31" t="n">
        <v>50</v>
      </c>
      <c r="L31" t="n">
        <v>0</v>
      </c>
      <c r="M31" t="n">
        <v>50</v>
      </c>
      <c r="N31" t="n">
        <v>56302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200</v>
      </c>
      <c r="F32" t="n">
        <v>0</v>
      </c>
      <c r="G32" t="n">
        <v>0</v>
      </c>
      <c r="H32" t="n">
        <v>0</v>
      </c>
      <c r="I32" t="n">
        <v>200</v>
      </c>
      <c r="J32" t="n">
        <v>0</v>
      </c>
      <c r="K32" t="n">
        <v>50</v>
      </c>
      <c r="L32" t="n">
        <v>0</v>
      </c>
      <c r="M32" t="n">
        <v>50</v>
      </c>
      <c r="N32" t="n">
        <v>56352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200</v>
      </c>
      <c r="F33" t="n">
        <v>0</v>
      </c>
      <c r="G33" t="n">
        <v>0</v>
      </c>
      <c r="H33" t="n">
        <v>0</v>
      </c>
      <c r="I33" t="n">
        <v>200</v>
      </c>
      <c r="J33" t="n">
        <v>0</v>
      </c>
      <c r="K33" t="n">
        <v>50</v>
      </c>
      <c r="L33" t="n">
        <v>0</v>
      </c>
      <c r="M33" t="n">
        <v>50</v>
      </c>
      <c r="N33" t="n">
        <v>56402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200</v>
      </c>
      <c r="F34" t="n">
        <v>0</v>
      </c>
      <c r="G34" t="n">
        <v>0</v>
      </c>
      <c r="H34" t="n">
        <v>0</v>
      </c>
      <c r="I34" t="n">
        <v>200</v>
      </c>
      <c r="J34" t="n">
        <v>0</v>
      </c>
      <c r="K34" t="n">
        <v>50</v>
      </c>
      <c r="L34" t="n">
        <v>0</v>
      </c>
      <c r="M34" t="n">
        <v>50</v>
      </c>
      <c r="N34" t="n">
        <v>56452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200</v>
      </c>
      <c r="F35" t="n">
        <v>0</v>
      </c>
      <c r="G35" t="n">
        <v>0</v>
      </c>
      <c r="H35" t="n">
        <v>0</v>
      </c>
      <c r="I35" t="n">
        <v>200</v>
      </c>
      <c r="J35" t="n">
        <v>0</v>
      </c>
      <c r="K35" t="n">
        <v>50</v>
      </c>
      <c r="L35" t="n">
        <v>0</v>
      </c>
      <c r="M35" t="n">
        <v>50</v>
      </c>
      <c r="N35" t="n">
        <v>56502</v>
      </c>
      <c r="P35" t="n">
        <v>300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200</v>
      </c>
      <c r="F36" t="n">
        <v>0</v>
      </c>
      <c r="G36" t="n">
        <v>0</v>
      </c>
      <c r="H36" t="n">
        <v>0</v>
      </c>
      <c r="I36" t="n">
        <v>200</v>
      </c>
      <c r="J36" t="n">
        <v>0</v>
      </c>
      <c r="K36" t="n">
        <v>50</v>
      </c>
      <c r="L36" t="n">
        <v>0</v>
      </c>
      <c r="M36" t="n">
        <v>50</v>
      </c>
      <c r="N36" t="n">
        <v>56552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" t="inlineStr">
        <is>
          <t>Simulation - Scenario 2 - Balanced</t>
        </is>
      </c>
    </row>
    <row r="2">
      <c r="A2" s="4" t="inlineStr">
        <is>
          <t>Edit Inputs to change demand, costs, and policy parameters.</t>
        </is>
      </c>
    </row>
    <row r="3">
      <c r="A3" s="5" t="n"/>
      <c r="B3" s="5" t="inlineStr">
        <is>
          <t>Retailer</t>
        </is>
      </c>
      <c r="L3" s="5" t="inlineStr">
        <is>
          <t>Wholesaler</t>
        </is>
      </c>
      <c r="V3" s="5" t="inlineStr">
        <is>
          <t>Distributor</t>
        </is>
      </c>
      <c r="AF3" s="5" t="inlineStr">
        <is>
          <t>Factory</t>
        </is>
      </c>
      <c r="AP3" s="5" t="inlineStr">
        <is>
          <t>Total</t>
        </is>
      </c>
    </row>
    <row r="4">
      <c r="A4" s="1" t="n"/>
      <c r="B4" s="1" t="inlineStr">
        <is>
          <t>Incoming order</t>
        </is>
      </c>
      <c r="C4" s="1" t="inlineStr">
        <is>
          <t>Incoming shipment</t>
        </is>
      </c>
      <c r="D4" s="1" t="inlineStr">
        <is>
          <t>Outgoing shipment</t>
        </is>
      </c>
      <c r="E4" s="1" t="inlineStr">
        <is>
          <t>Inventory</t>
        </is>
      </c>
      <c r="F4" s="1" t="inlineStr">
        <is>
          <t>Backlog</t>
        </is>
      </c>
      <c r="G4" s="1" t="inlineStr">
        <is>
          <t>Order placed</t>
        </is>
      </c>
      <c r="H4" s="1" t="inlineStr">
        <is>
          <t>InvCost</t>
        </is>
      </c>
      <c r="I4" s="1" t="inlineStr">
        <is>
          <t>BackCost</t>
        </is>
      </c>
      <c r="J4" s="1" t="inlineStr">
        <is>
          <t>WeekCost</t>
        </is>
      </c>
      <c r="K4" s="1" t="inlineStr">
        <is>
          <t>Cumulative</t>
        </is>
      </c>
      <c r="L4" s="1" t="inlineStr">
        <is>
          <t>Incoming order</t>
        </is>
      </c>
      <c r="M4" s="1" t="inlineStr">
        <is>
          <t>Incoming shipment</t>
        </is>
      </c>
      <c r="N4" s="1" t="inlineStr">
        <is>
          <t>Outgoing shipment</t>
        </is>
      </c>
      <c r="O4" s="1" t="inlineStr">
        <is>
          <t>Inventory</t>
        </is>
      </c>
      <c r="P4" s="1" t="inlineStr">
        <is>
          <t>Backlog</t>
        </is>
      </c>
      <c r="Q4" s="1" t="inlineStr">
        <is>
          <t>Order placed</t>
        </is>
      </c>
      <c r="R4" s="1" t="inlineStr">
        <is>
          <t>InvCost</t>
        </is>
      </c>
      <c r="S4" s="1" t="inlineStr">
        <is>
          <t>BackCost</t>
        </is>
      </c>
      <c r="T4" s="1" t="inlineStr">
        <is>
          <t>WeekCost</t>
        </is>
      </c>
      <c r="U4" s="1" t="inlineStr">
        <is>
          <t>Cumulative</t>
        </is>
      </c>
      <c r="V4" s="1" t="inlineStr">
        <is>
          <t>Incoming order</t>
        </is>
      </c>
      <c r="W4" s="1" t="inlineStr">
        <is>
          <t>Incoming shipment</t>
        </is>
      </c>
      <c r="X4" s="1" t="inlineStr">
        <is>
          <t>Outgoing shipment</t>
        </is>
      </c>
      <c r="Y4" s="1" t="inlineStr">
        <is>
          <t>Inventory</t>
        </is>
      </c>
      <c r="Z4" s="1" t="inlineStr">
        <is>
          <t>Backlog</t>
        </is>
      </c>
      <c r="AA4" s="1" t="inlineStr">
        <is>
          <t>Order placed</t>
        </is>
      </c>
      <c r="AB4" s="1" t="inlineStr">
        <is>
          <t>InvCost</t>
        </is>
      </c>
      <c r="AC4" s="1" t="inlineStr">
        <is>
          <t>BackCost</t>
        </is>
      </c>
      <c r="AD4" s="1" t="inlineStr">
        <is>
          <t>WeekCost</t>
        </is>
      </c>
      <c r="AE4" s="1" t="inlineStr">
        <is>
          <t>Cumulative</t>
        </is>
      </c>
      <c r="AF4" s="1" t="inlineStr">
        <is>
          <t>Incoming order</t>
        </is>
      </c>
      <c r="AG4" s="1" t="inlineStr">
        <is>
          <t>Incoming shipment</t>
        </is>
      </c>
      <c r="AH4" s="1" t="inlineStr">
        <is>
          <t>Outgoing shipment</t>
        </is>
      </c>
      <c r="AI4" s="1" t="inlineStr">
        <is>
          <t>Inventory</t>
        </is>
      </c>
      <c r="AJ4" s="1" t="inlineStr">
        <is>
          <t>Backlog</t>
        </is>
      </c>
      <c r="AK4" s="1" t="inlineStr">
        <is>
          <t>Order placed</t>
        </is>
      </c>
      <c r="AL4" s="1" t="inlineStr">
        <is>
          <t>InvCost</t>
        </is>
      </c>
      <c r="AM4" s="1" t="inlineStr">
        <is>
          <t>BackCost</t>
        </is>
      </c>
      <c r="AN4" s="1" t="inlineStr">
        <is>
          <t>WeekCost</t>
        </is>
      </c>
      <c r="AO4" s="1" t="inlineStr">
        <is>
          <t>Cumulative</t>
        </is>
      </c>
      <c r="AP4" s="1" t="inlineStr">
        <is>
          <t>TotInvCost</t>
        </is>
      </c>
      <c r="AQ4" s="1" t="inlineStr">
        <is>
          <t>TotBackCost</t>
        </is>
      </c>
      <c r="AR4" s="1" t="inlineStr">
        <is>
          <t>TotWeekCost</t>
        </is>
      </c>
      <c r="AS4" s="1" t="inlineStr">
        <is>
          <t>CumCost</t>
        </is>
      </c>
    </row>
    <row r="5">
      <c r="A5" s="2" t="n">
        <v>1</v>
      </c>
      <c r="B5" s="2">
        <f>CHOOSE(Inputs!$B$12,'S2_D1_Retailer'!C2,'S2_D2_Retailer'!C2,'S2_D3_Retailer'!C2)</f>
        <v/>
      </c>
      <c r="C5" s="2">
        <f>CHOOSE(Inputs!$B$12,'S2_D1_Retailer'!D2,'S2_D2_Retailer'!D2,'S2_D3_Retailer'!D2)</f>
        <v/>
      </c>
      <c r="D5" s="2">
        <f>CHOOSE(Inputs!$B$12,'S2_D1_Retailer'!H2,'S2_D2_Retailer'!H2,'S2_D3_Retailer'!H2)</f>
        <v/>
      </c>
      <c r="E5" s="2">
        <f>CHOOSE(Inputs!$B$12,'S2_D1_Retailer'!I2,'S2_D2_Retailer'!I2,'S2_D3_Retailer'!I2)</f>
        <v/>
      </c>
      <c r="F5" s="2">
        <f>CHOOSE(Inputs!$B$12,'S2_D1_Retailer'!J2,'S2_D2_Retailer'!J2,'S2_D3_Retailer'!J2)</f>
        <v/>
      </c>
      <c r="G5" s="2">
        <f>CHOOSE(Inputs!$B$12,'S2_D1_Retailer'!P2,'S2_D2_Retailer'!P2,'S2_D3_Retailer'!P2)</f>
        <v/>
      </c>
      <c r="H5" s="2">
        <f>CHOOSE(Inputs!$B$12,'S2_D1_Retailer'!K2,'S2_D2_Retailer'!K2,'S2_D3_Retailer'!K2)</f>
        <v/>
      </c>
      <c r="I5" s="2">
        <f>CHOOSE(Inputs!$B$12,'S2_D1_Retailer'!L2,'S2_D2_Retailer'!L2,'S2_D3_Retailer'!L2)</f>
        <v/>
      </c>
      <c r="J5" s="2">
        <f>CHOOSE(Inputs!$B$12,'S2_D1_Retailer'!M2,'S2_D2_Retailer'!M2,'S2_D3_Retailer'!M2)</f>
        <v/>
      </c>
      <c r="K5" s="2">
        <f>CHOOSE(Inputs!$B$12,'S2_D1_Retailer'!N2,'S2_D2_Retailer'!N2,'S2_D3_Retailer'!N2)</f>
        <v/>
      </c>
      <c r="L5" s="2">
        <f>CHOOSE(Inputs!$B$12,'S2_D1_Wholesaler'!C2,'S2_D2_Wholesaler'!C2,'S2_D3_Wholesaler'!C2)</f>
        <v/>
      </c>
      <c r="M5" s="2">
        <f>CHOOSE(Inputs!$B$12,'S2_D1_Wholesaler'!D2,'S2_D2_Wholesaler'!D2,'S2_D3_Wholesaler'!D2)</f>
        <v/>
      </c>
      <c r="N5" s="2">
        <f>CHOOSE(Inputs!$B$12,'S2_D1_Wholesaler'!H2,'S2_D2_Wholesaler'!H2,'S2_D3_Wholesaler'!H2)</f>
        <v/>
      </c>
      <c r="O5" s="2">
        <f>CHOOSE(Inputs!$B$12,'S2_D1_Wholesaler'!I2,'S2_D2_Wholesaler'!I2,'S2_D3_Wholesaler'!I2)</f>
        <v/>
      </c>
      <c r="P5" s="2">
        <f>CHOOSE(Inputs!$B$12,'S2_D1_Wholesaler'!J2,'S2_D2_Wholesaler'!J2,'S2_D3_Wholesaler'!J2)</f>
        <v/>
      </c>
      <c r="Q5" s="2">
        <f>CHOOSE(Inputs!$B$12,'S2_D1_Wholesaler'!P2,'S2_D2_Wholesaler'!P2,'S2_D3_Wholesaler'!P2)</f>
        <v/>
      </c>
      <c r="R5" s="2">
        <f>CHOOSE(Inputs!$B$12,'S2_D1_Wholesaler'!K2,'S2_D2_Wholesaler'!K2,'S2_D3_Wholesaler'!K2)</f>
        <v/>
      </c>
      <c r="S5" s="2">
        <f>CHOOSE(Inputs!$B$12,'S2_D1_Wholesaler'!L2,'S2_D2_Wholesaler'!L2,'S2_D3_Wholesaler'!L2)</f>
        <v/>
      </c>
      <c r="T5" s="2">
        <f>CHOOSE(Inputs!$B$12,'S2_D1_Wholesaler'!M2,'S2_D2_Wholesaler'!M2,'S2_D3_Wholesaler'!M2)</f>
        <v/>
      </c>
      <c r="U5" s="2">
        <f>CHOOSE(Inputs!$B$12,'S2_D1_Wholesaler'!N2,'S2_D2_Wholesaler'!N2,'S2_D3_Wholesaler'!N2)</f>
        <v/>
      </c>
      <c r="V5" s="2">
        <f>CHOOSE(Inputs!$B$12,'S2_D1_Distributor'!C2,'S2_D2_Distributor'!C2,'S2_D3_Distributor'!C2)</f>
        <v/>
      </c>
      <c r="W5" s="2">
        <f>CHOOSE(Inputs!$B$12,'S2_D1_Distributor'!D2,'S2_D2_Distributor'!D2,'S2_D3_Distributor'!D2)</f>
        <v/>
      </c>
      <c r="X5" s="2">
        <f>CHOOSE(Inputs!$B$12,'S2_D1_Distributor'!H2,'S2_D2_Distributor'!H2,'S2_D3_Distributor'!H2)</f>
        <v/>
      </c>
      <c r="Y5" s="2">
        <f>CHOOSE(Inputs!$B$12,'S2_D1_Distributor'!I2,'S2_D2_Distributor'!I2,'S2_D3_Distributor'!I2)</f>
        <v/>
      </c>
      <c r="Z5" s="2">
        <f>CHOOSE(Inputs!$B$12,'S2_D1_Distributor'!J2,'S2_D2_Distributor'!J2,'S2_D3_Distributor'!J2)</f>
        <v/>
      </c>
      <c r="AA5" s="2">
        <f>CHOOSE(Inputs!$B$12,'S2_D1_Distributor'!P2,'S2_D2_Distributor'!P2,'S2_D3_Distributor'!P2)</f>
        <v/>
      </c>
      <c r="AB5" s="2">
        <f>CHOOSE(Inputs!$B$12,'S2_D1_Distributor'!K2,'S2_D2_Distributor'!K2,'S2_D3_Distributor'!K2)</f>
        <v/>
      </c>
      <c r="AC5" s="2">
        <f>CHOOSE(Inputs!$B$12,'S2_D1_Distributor'!L2,'S2_D2_Distributor'!L2,'S2_D3_Distributor'!L2)</f>
        <v/>
      </c>
      <c r="AD5" s="2">
        <f>CHOOSE(Inputs!$B$12,'S2_D1_Distributor'!M2,'S2_D2_Distributor'!M2,'S2_D3_Distributor'!M2)</f>
        <v/>
      </c>
      <c r="AE5" s="2">
        <f>CHOOSE(Inputs!$B$12,'S2_D1_Distributor'!N2,'S2_D2_Distributor'!N2,'S2_D3_Distributor'!N2)</f>
        <v/>
      </c>
      <c r="AF5" s="2">
        <f>CHOOSE(Inputs!$B$12,'S2_D1_Factory'!C2,'S2_D2_Factory'!C2,'S2_D3_Factory'!C2)</f>
        <v/>
      </c>
      <c r="AG5" s="2">
        <f>CHOOSE(Inputs!$B$12,'S2_D1_Factory'!D2,'S2_D2_Factory'!D2,'S2_D3_Factory'!D2)</f>
        <v/>
      </c>
      <c r="AH5" s="2">
        <f>CHOOSE(Inputs!$B$12,'S2_D1_Factory'!H2,'S2_D2_Factory'!H2,'S2_D3_Factory'!H2)</f>
        <v/>
      </c>
      <c r="AI5" s="2">
        <f>CHOOSE(Inputs!$B$12,'S2_D1_Factory'!I2,'S2_D2_Factory'!I2,'S2_D3_Factory'!I2)</f>
        <v/>
      </c>
      <c r="AJ5" s="2">
        <f>CHOOSE(Inputs!$B$12,'S2_D1_Factory'!J2,'S2_D2_Factory'!J2,'S2_D3_Factory'!J2)</f>
        <v/>
      </c>
      <c r="AK5" s="2">
        <f>CHOOSE(Inputs!$B$12,'S2_D1_Factory'!P2,'S2_D2_Factory'!P2,'S2_D3_Factory'!P2)</f>
        <v/>
      </c>
      <c r="AL5" s="2">
        <f>CHOOSE(Inputs!$B$12,'S2_D1_Factory'!K2,'S2_D2_Factory'!K2,'S2_D3_Factory'!K2)</f>
        <v/>
      </c>
      <c r="AM5" s="2">
        <f>CHOOSE(Inputs!$B$12,'S2_D1_Factory'!L2,'S2_D2_Factory'!L2,'S2_D3_Factory'!L2)</f>
        <v/>
      </c>
      <c r="AN5" s="2">
        <f>CHOOSE(Inputs!$B$12,'S2_D1_Factory'!M2,'S2_D2_Factory'!M2,'S2_D3_Factory'!M2)</f>
        <v/>
      </c>
      <c r="AO5" s="2">
        <f>CHOOSE(Inputs!$B$12,'S2_D1_Factory'!N2,'S2_D2_Factory'!N2,'S2_D3_Factory'!N2)</f>
        <v/>
      </c>
      <c r="AP5" s="2">
        <f>SUM(H5,R5,AB5,AL5)</f>
        <v/>
      </c>
      <c r="AQ5" s="2">
        <f>SUM(I5,S5,AC5,AM5)</f>
        <v/>
      </c>
      <c r="AR5" s="2">
        <f>SUM(J5,T5,AD5,AN5)</f>
        <v/>
      </c>
      <c r="AS5" s="2">
        <f>AR5</f>
        <v/>
      </c>
    </row>
    <row r="6">
      <c r="A6" s="2" t="n">
        <v>2</v>
      </c>
      <c r="B6" s="2">
        <f>CHOOSE(Inputs!$B$12,'S2_D1_Retailer'!C3,'S2_D2_Retailer'!C3,'S2_D3_Retailer'!C3)</f>
        <v/>
      </c>
      <c r="C6" s="2">
        <f>CHOOSE(Inputs!$B$12,'S2_D1_Retailer'!D3,'S2_D2_Retailer'!D3,'S2_D3_Retailer'!D3)</f>
        <v/>
      </c>
      <c r="D6" s="2">
        <f>CHOOSE(Inputs!$B$12,'S2_D1_Retailer'!H3,'S2_D2_Retailer'!H3,'S2_D3_Retailer'!H3)</f>
        <v/>
      </c>
      <c r="E6" s="2">
        <f>CHOOSE(Inputs!$B$12,'S2_D1_Retailer'!I3,'S2_D2_Retailer'!I3,'S2_D3_Retailer'!I3)</f>
        <v/>
      </c>
      <c r="F6" s="2">
        <f>CHOOSE(Inputs!$B$12,'S2_D1_Retailer'!J3,'S2_D2_Retailer'!J3,'S2_D3_Retailer'!J3)</f>
        <v/>
      </c>
      <c r="G6" s="2">
        <f>CHOOSE(Inputs!$B$12,'S2_D1_Retailer'!P3,'S2_D2_Retailer'!P3,'S2_D3_Retailer'!P3)</f>
        <v/>
      </c>
      <c r="H6" s="2">
        <f>CHOOSE(Inputs!$B$12,'S2_D1_Retailer'!K3,'S2_D2_Retailer'!K3,'S2_D3_Retailer'!K3)</f>
        <v/>
      </c>
      <c r="I6" s="2">
        <f>CHOOSE(Inputs!$B$12,'S2_D1_Retailer'!L3,'S2_D2_Retailer'!L3,'S2_D3_Retailer'!L3)</f>
        <v/>
      </c>
      <c r="J6" s="2">
        <f>CHOOSE(Inputs!$B$12,'S2_D1_Retailer'!M3,'S2_D2_Retailer'!M3,'S2_D3_Retailer'!M3)</f>
        <v/>
      </c>
      <c r="K6" s="2">
        <f>CHOOSE(Inputs!$B$12,'S2_D1_Retailer'!N3,'S2_D2_Retailer'!N3,'S2_D3_Retailer'!N3)</f>
        <v/>
      </c>
      <c r="L6" s="2">
        <f>CHOOSE(Inputs!$B$12,'S2_D1_Wholesaler'!C3,'S2_D2_Wholesaler'!C3,'S2_D3_Wholesaler'!C3)</f>
        <v/>
      </c>
      <c r="M6" s="2">
        <f>CHOOSE(Inputs!$B$12,'S2_D1_Wholesaler'!D3,'S2_D2_Wholesaler'!D3,'S2_D3_Wholesaler'!D3)</f>
        <v/>
      </c>
      <c r="N6" s="2">
        <f>CHOOSE(Inputs!$B$12,'S2_D1_Wholesaler'!H3,'S2_D2_Wholesaler'!H3,'S2_D3_Wholesaler'!H3)</f>
        <v/>
      </c>
      <c r="O6" s="2">
        <f>CHOOSE(Inputs!$B$12,'S2_D1_Wholesaler'!I3,'S2_D2_Wholesaler'!I3,'S2_D3_Wholesaler'!I3)</f>
        <v/>
      </c>
      <c r="P6" s="2">
        <f>CHOOSE(Inputs!$B$12,'S2_D1_Wholesaler'!J3,'S2_D2_Wholesaler'!J3,'S2_D3_Wholesaler'!J3)</f>
        <v/>
      </c>
      <c r="Q6" s="2">
        <f>CHOOSE(Inputs!$B$12,'S2_D1_Wholesaler'!P3,'S2_D2_Wholesaler'!P3,'S2_D3_Wholesaler'!P3)</f>
        <v/>
      </c>
      <c r="R6" s="2">
        <f>CHOOSE(Inputs!$B$12,'S2_D1_Wholesaler'!K3,'S2_D2_Wholesaler'!K3,'S2_D3_Wholesaler'!K3)</f>
        <v/>
      </c>
      <c r="S6" s="2">
        <f>CHOOSE(Inputs!$B$12,'S2_D1_Wholesaler'!L3,'S2_D2_Wholesaler'!L3,'S2_D3_Wholesaler'!L3)</f>
        <v/>
      </c>
      <c r="T6" s="2">
        <f>CHOOSE(Inputs!$B$12,'S2_D1_Wholesaler'!M3,'S2_D2_Wholesaler'!M3,'S2_D3_Wholesaler'!M3)</f>
        <v/>
      </c>
      <c r="U6" s="2">
        <f>CHOOSE(Inputs!$B$12,'S2_D1_Wholesaler'!N3,'S2_D2_Wholesaler'!N3,'S2_D3_Wholesaler'!N3)</f>
        <v/>
      </c>
      <c r="V6" s="2">
        <f>CHOOSE(Inputs!$B$12,'S2_D1_Distributor'!C3,'S2_D2_Distributor'!C3,'S2_D3_Distributor'!C3)</f>
        <v/>
      </c>
      <c r="W6" s="2">
        <f>CHOOSE(Inputs!$B$12,'S2_D1_Distributor'!D3,'S2_D2_Distributor'!D3,'S2_D3_Distributor'!D3)</f>
        <v/>
      </c>
      <c r="X6" s="2">
        <f>CHOOSE(Inputs!$B$12,'S2_D1_Distributor'!H3,'S2_D2_Distributor'!H3,'S2_D3_Distributor'!H3)</f>
        <v/>
      </c>
      <c r="Y6" s="2">
        <f>CHOOSE(Inputs!$B$12,'S2_D1_Distributor'!I3,'S2_D2_Distributor'!I3,'S2_D3_Distributor'!I3)</f>
        <v/>
      </c>
      <c r="Z6" s="2">
        <f>CHOOSE(Inputs!$B$12,'S2_D1_Distributor'!J3,'S2_D2_Distributor'!J3,'S2_D3_Distributor'!J3)</f>
        <v/>
      </c>
      <c r="AA6" s="2">
        <f>CHOOSE(Inputs!$B$12,'S2_D1_Distributor'!P3,'S2_D2_Distributor'!P3,'S2_D3_Distributor'!P3)</f>
        <v/>
      </c>
      <c r="AB6" s="2">
        <f>CHOOSE(Inputs!$B$12,'S2_D1_Distributor'!K3,'S2_D2_Distributor'!K3,'S2_D3_Distributor'!K3)</f>
        <v/>
      </c>
      <c r="AC6" s="2">
        <f>CHOOSE(Inputs!$B$12,'S2_D1_Distributor'!L3,'S2_D2_Distributor'!L3,'S2_D3_Distributor'!L3)</f>
        <v/>
      </c>
      <c r="AD6" s="2">
        <f>CHOOSE(Inputs!$B$12,'S2_D1_Distributor'!M3,'S2_D2_Distributor'!M3,'S2_D3_Distributor'!M3)</f>
        <v/>
      </c>
      <c r="AE6" s="2">
        <f>CHOOSE(Inputs!$B$12,'S2_D1_Distributor'!N3,'S2_D2_Distributor'!N3,'S2_D3_Distributor'!N3)</f>
        <v/>
      </c>
      <c r="AF6" s="2">
        <f>CHOOSE(Inputs!$B$12,'S2_D1_Factory'!C3,'S2_D2_Factory'!C3,'S2_D3_Factory'!C3)</f>
        <v/>
      </c>
      <c r="AG6" s="2">
        <f>CHOOSE(Inputs!$B$12,'S2_D1_Factory'!D3,'S2_D2_Factory'!D3,'S2_D3_Factory'!D3)</f>
        <v/>
      </c>
      <c r="AH6" s="2">
        <f>CHOOSE(Inputs!$B$12,'S2_D1_Factory'!H3,'S2_D2_Factory'!H3,'S2_D3_Factory'!H3)</f>
        <v/>
      </c>
      <c r="AI6" s="2">
        <f>CHOOSE(Inputs!$B$12,'S2_D1_Factory'!I3,'S2_D2_Factory'!I3,'S2_D3_Factory'!I3)</f>
        <v/>
      </c>
      <c r="AJ6" s="2">
        <f>CHOOSE(Inputs!$B$12,'S2_D1_Factory'!J3,'S2_D2_Factory'!J3,'S2_D3_Factory'!J3)</f>
        <v/>
      </c>
      <c r="AK6" s="2">
        <f>CHOOSE(Inputs!$B$12,'S2_D1_Factory'!P3,'S2_D2_Factory'!P3,'S2_D3_Factory'!P3)</f>
        <v/>
      </c>
      <c r="AL6" s="2">
        <f>CHOOSE(Inputs!$B$12,'S2_D1_Factory'!K3,'S2_D2_Factory'!K3,'S2_D3_Factory'!K3)</f>
        <v/>
      </c>
      <c r="AM6" s="2">
        <f>CHOOSE(Inputs!$B$12,'S2_D1_Factory'!L3,'S2_D2_Factory'!L3,'S2_D3_Factory'!L3)</f>
        <v/>
      </c>
      <c r="AN6" s="2">
        <f>CHOOSE(Inputs!$B$12,'S2_D1_Factory'!M3,'S2_D2_Factory'!M3,'S2_D3_Factory'!M3)</f>
        <v/>
      </c>
      <c r="AO6" s="2">
        <f>CHOOSE(Inputs!$B$12,'S2_D1_Factory'!N3,'S2_D2_Factory'!N3,'S2_D3_Factory'!N3)</f>
        <v/>
      </c>
      <c r="AP6" s="2">
        <f>SUM(H6,R6,AB6,AL6)</f>
        <v/>
      </c>
      <c r="AQ6" s="2">
        <f>SUM(I6,S6,AC6,AM6)</f>
        <v/>
      </c>
      <c r="AR6" s="2">
        <f>SUM(J6,T6,AD6,AN6)</f>
        <v/>
      </c>
      <c r="AS6" s="2">
        <f>AS5+AR6</f>
        <v/>
      </c>
    </row>
    <row r="7">
      <c r="A7" s="2" t="n">
        <v>3</v>
      </c>
      <c r="B7" s="2">
        <f>CHOOSE(Inputs!$B$12,'S2_D1_Retailer'!C4,'S2_D2_Retailer'!C4,'S2_D3_Retailer'!C4)</f>
        <v/>
      </c>
      <c r="C7" s="2">
        <f>CHOOSE(Inputs!$B$12,'S2_D1_Retailer'!D4,'S2_D2_Retailer'!D4,'S2_D3_Retailer'!D4)</f>
        <v/>
      </c>
      <c r="D7" s="2">
        <f>CHOOSE(Inputs!$B$12,'S2_D1_Retailer'!H4,'S2_D2_Retailer'!H4,'S2_D3_Retailer'!H4)</f>
        <v/>
      </c>
      <c r="E7" s="2">
        <f>CHOOSE(Inputs!$B$12,'S2_D1_Retailer'!I4,'S2_D2_Retailer'!I4,'S2_D3_Retailer'!I4)</f>
        <v/>
      </c>
      <c r="F7" s="2">
        <f>CHOOSE(Inputs!$B$12,'S2_D1_Retailer'!J4,'S2_D2_Retailer'!J4,'S2_D3_Retailer'!J4)</f>
        <v/>
      </c>
      <c r="G7" s="2">
        <f>CHOOSE(Inputs!$B$12,'S2_D1_Retailer'!P4,'S2_D2_Retailer'!P4,'S2_D3_Retailer'!P4)</f>
        <v/>
      </c>
      <c r="H7" s="2">
        <f>CHOOSE(Inputs!$B$12,'S2_D1_Retailer'!K4,'S2_D2_Retailer'!K4,'S2_D3_Retailer'!K4)</f>
        <v/>
      </c>
      <c r="I7" s="2">
        <f>CHOOSE(Inputs!$B$12,'S2_D1_Retailer'!L4,'S2_D2_Retailer'!L4,'S2_D3_Retailer'!L4)</f>
        <v/>
      </c>
      <c r="J7" s="2">
        <f>CHOOSE(Inputs!$B$12,'S2_D1_Retailer'!M4,'S2_D2_Retailer'!M4,'S2_D3_Retailer'!M4)</f>
        <v/>
      </c>
      <c r="K7" s="2">
        <f>CHOOSE(Inputs!$B$12,'S2_D1_Retailer'!N4,'S2_D2_Retailer'!N4,'S2_D3_Retailer'!N4)</f>
        <v/>
      </c>
      <c r="L7" s="2">
        <f>CHOOSE(Inputs!$B$12,'S2_D1_Wholesaler'!C4,'S2_D2_Wholesaler'!C4,'S2_D3_Wholesaler'!C4)</f>
        <v/>
      </c>
      <c r="M7" s="2">
        <f>CHOOSE(Inputs!$B$12,'S2_D1_Wholesaler'!D4,'S2_D2_Wholesaler'!D4,'S2_D3_Wholesaler'!D4)</f>
        <v/>
      </c>
      <c r="N7" s="2">
        <f>CHOOSE(Inputs!$B$12,'S2_D1_Wholesaler'!H4,'S2_D2_Wholesaler'!H4,'S2_D3_Wholesaler'!H4)</f>
        <v/>
      </c>
      <c r="O7" s="2">
        <f>CHOOSE(Inputs!$B$12,'S2_D1_Wholesaler'!I4,'S2_D2_Wholesaler'!I4,'S2_D3_Wholesaler'!I4)</f>
        <v/>
      </c>
      <c r="P7" s="2">
        <f>CHOOSE(Inputs!$B$12,'S2_D1_Wholesaler'!J4,'S2_D2_Wholesaler'!J4,'S2_D3_Wholesaler'!J4)</f>
        <v/>
      </c>
      <c r="Q7" s="2">
        <f>CHOOSE(Inputs!$B$12,'S2_D1_Wholesaler'!P4,'S2_D2_Wholesaler'!P4,'S2_D3_Wholesaler'!P4)</f>
        <v/>
      </c>
      <c r="R7" s="2">
        <f>CHOOSE(Inputs!$B$12,'S2_D1_Wholesaler'!K4,'S2_D2_Wholesaler'!K4,'S2_D3_Wholesaler'!K4)</f>
        <v/>
      </c>
      <c r="S7" s="2">
        <f>CHOOSE(Inputs!$B$12,'S2_D1_Wholesaler'!L4,'S2_D2_Wholesaler'!L4,'S2_D3_Wholesaler'!L4)</f>
        <v/>
      </c>
      <c r="T7" s="2">
        <f>CHOOSE(Inputs!$B$12,'S2_D1_Wholesaler'!M4,'S2_D2_Wholesaler'!M4,'S2_D3_Wholesaler'!M4)</f>
        <v/>
      </c>
      <c r="U7" s="2">
        <f>CHOOSE(Inputs!$B$12,'S2_D1_Wholesaler'!N4,'S2_D2_Wholesaler'!N4,'S2_D3_Wholesaler'!N4)</f>
        <v/>
      </c>
      <c r="V7" s="2">
        <f>CHOOSE(Inputs!$B$12,'S2_D1_Distributor'!C4,'S2_D2_Distributor'!C4,'S2_D3_Distributor'!C4)</f>
        <v/>
      </c>
      <c r="W7" s="2">
        <f>CHOOSE(Inputs!$B$12,'S2_D1_Distributor'!D4,'S2_D2_Distributor'!D4,'S2_D3_Distributor'!D4)</f>
        <v/>
      </c>
      <c r="X7" s="2">
        <f>CHOOSE(Inputs!$B$12,'S2_D1_Distributor'!H4,'S2_D2_Distributor'!H4,'S2_D3_Distributor'!H4)</f>
        <v/>
      </c>
      <c r="Y7" s="2">
        <f>CHOOSE(Inputs!$B$12,'S2_D1_Distributor'!I4,'S2_D2_Distributor'!I4,'S2_D3_Distributor'!I4)</f>
        <v/>
      </c>
      <c r="Z7" s="2">
        <f>CHOOSE(Inputs!$B$12,'S2_D1_Distributor'!J4,'S2_D2_Distributor'!J4,'S2_D3_Distributor'!J4)</f>
        <v/>
      </c>
      <c r="AA7" s="2">
        <f>CHOOSE(Inputs!$B$12,'S2_D1_Distributor'!P4,'S2_D2_Distributor'!P4,'S2_D3_Distributor'!P4)</f>
        <v/>
      </c>
      <c r="AB7" s="2">
        <f>CHOOSE(Inputs!$B$12,'S2_D1_Distributor'!K4,'S2_D2_Distributor'!K4,'S2_D3_Distributor'!K4)</f>
        <v/>
      </c>
      <c r="AC7" s="2">
        <f>CHOOSE(Inputs!$B$12,'S2_D1_Distributor'!L4,'S2_D2_Distributor'!L4,'S2_D3_Distributor'!L4)</f>
        <v/>
      </c>
      <c r="AD7" s="2">
        <f>CHOOSE(Inputs!$B$12,'S2_D1_Distributor'!M4,'S2_D2_Distributor'!M4,'S2_D3_Distributor'!M4)</f>
        <v/>
      </c>
      <c r="AE7" s="2">
        <f>CHOOSE(Inputs!$B$12,'S2_D1_Distributor'!N4,'S2_D2_Distributor'!N4,'S2_D3_Distributor'!N4)</f>
        <v/>
      </c>
      <c r="AF7" s="2">
        <f>CHOOSE(Inputs!$B$12,'S2_D1_Factory'!C4,'S2_D2_Factory'!C4,'S2_D3_Factory'!C4)</f>
        <v/>
      </c>
      <c r="AG7" s="2">
        <f>CHOOSE(Inputs!$B$12,'S2_D1_Factory'!D4,'S2_D2_Factory'!D4,'S2_D3_Factory'!D4)</f>
        <v/>
      </c>
      <c r="AH7" s="2">
        <f>CHOOSE(Inputs!$B$12,'S2_D1_Factory'!H4,'S2_D2_Factory'!H4,'S2_D3_Factory'!H4)</f>
        <v/>
      </c>
      <c r="AI7" s="2">
        <f>CHOOSE(Inputs!$B$12,'S2_D1_Factory'!I4,'S2_D2_Factory'!I4,'S2_D3_Factory'!I4)</f>
        <v/>
      </c>
      <c r="AJ7" s="2">
        <f>CHOOSE(Inputs!$B$12,'S2_D1_Factory'!J4,'S2_D2_Factory'!J4,'S2_D3_Factory'!J4)</f>
        <v/>
      </c>
      <c r="AK7" s="2">
        <f>CHOOSE(Inputs!$B$12,'S2_D1_Factory'!P4,'S2_D2_Factory'!P4,'S2_D3_Factory'!P4)</f>
        <v/>
      </c>
      <c r="AL7" s="2">
        <f>CHOOSE(Inputs!$B$12,'S2_D1_Factory'!K4,'S2_D2_Factory'!K4,'S2_D3_Factory'!K4)</f>
        <v/>
      </c>
      <c r="AM7" s="2">
        <f>CHOOSE(Inputs!$B$12,'S2_D1_Factory'!L4,'S2_D2_Factory'!L4,'S2_D3_Factory'!L4)</f>
        <v/>
      </c>
      <c r="AN7" s="2">
        <f>CHOOSE(Inputs!$B$12,'S2_D1_Factory'!M4,'S2_D2_Factory'!M4,'S2_D3_Factory'!M4)</f>
        <v/>
      </c>
      <c r="AO7" s="2">
        <f>CHOOSE(Inputs!$B$12,'S2_D1_Factory'!N4,'S2_D2_Factory'!N4,'S2_D3_Factory'!N4)</f>
        <v/>
      </c>
      <c r="AP7" s="2">
        <f>SUM(H7,R7,AB7,AL7)</f>
        <v/>
      </c>
      <c r="AQ7" s="2">
        <f>SUM(I7,S7,AC7,AM7)</f>
        <v/>
      </c>
      <c r="AR7" s="2">
        <f>SUM(J7,T7,AD7,AN7)</f>
        <v/>
      </c>
      <c r="AS7" s="2">
        <f>AS6+AR7</f>
        <v/>
      </c>
    </row>
    <row r="8">
      <c r="A8" s="2" t="n">
        <v>4</v>
      </c>
      <c r="B8" s="2">
        <f>CHOOSE(Inputs!$B$12,'S2_D1_Retailer'!C5,'S2_D2_Retailer'!C5,'S2_D3_Retailer'!C5)</f>
        <v/>
      </c>
      <c r="C8" s="2">
        <f>CHOOSE(Inputs!$B$12,'S2_D1_Retailer'!D5,'S2_D2_Retailer'!D5,'S2_D3_Retailer'!D5)</f>
        <v/>
      </c>
      <c r="D8" s="2">
        <f>CHOOSE(Inputs!$B$12,'S2_D1_Retailer'!H5,'S2_D2_Retailer'!H5,'S2_D3_Retailer'!H5)</f>
        <v/>
      </c>
      <c r="E8" s="2">
        <f>CHOOSE(Inputs!$B$12,'S2_D1_Retailer'!I5,'S2_D2_Retailer'!I5,'S2_D3_Retailer'!I5)</f>
        <v/>
      </c>
      <c r="F8" s="2">
        <f>CHOOSE(Inputs!$B$12,'S2_D1_Retailer'!J5,'S2_D2_Retailer'!J5,'S2_D3_Retailer'!J5)</f>
        <v/>
      </c>
      <c r="G8" s="2">
        <f>CHOOSE(Inputs!$B$12,'S2_D1_Retailer'!P5,'S2_D2_Retailer'!P5,'S2_D3_Retailer'!P5)</f>
        <v/>
      </c>
      <c r="H8" s="2">
        <f>CHOOSE(Inputs!$B$12,'S2_D1_Retailer'!K5,'S2_D2_Retailer'!K5,'S2_D3_Retailer'!K5)</f>
        <v/>
      </c>
      <c r="I8" s="2">
        <f>CHOOSE(Inputs!$B$12,'S2_D1_Retailer'!L5,'S2_D2_Retailer'!L5,'S2_D3_Retailer'!L5)</f>
        <v/>
      </c>
      <c r="J8" s="2">
        <f>CHOOSE(Inputs!$B$12,'S2_D1_Retailer'!M5,'S2_D2_Retailer'!M5,'S2_D3_Retailer'!M5)</f>
        <v/>
      </c>
      <c r="K8" s="2">
        <f>CHOOSE(Inputs!$B$12,'S2_D1_Retailer'!N5,'S2_D2_Retailer'!N5,'S2_D3_Retailer'!N5)</f>
        <v/>
      </c>
      <c r="L8" s="2">
        <f>CHOOSE(Inputs!$B$12,'S2_D1_Wholesaler'!C5,'S2_D2_Wholesaler'!C5,'S2_D3_Wholesaler'!C5)</f>
        <v/>
      </c>
      <c r="M8" s="2">
        <f>CHOOSE(Inputs!$B$12,'S2_D1_Wholesaler'!D5,'S2_D2_Wholesaler'!D5,'S2_D3_Wholesaler'!D5)</f>
        <v/>
      </c>
      <c r="N8" s="2">
        <f>CHOOSE(Inputs!$B$12,'S2_D1_Wholesaler'!H5,'S2_D2_Wholesaler'!H5,'S2_D3_Wholesaler'!H5)</f>
        <v/>
      </c>
      <c r="O8" s="2">
        <f>CHOOSE(Inputs!$B$12,'S2_D1_Wholesaler'!I5,'S2_D2_Wholesaler'!I5,'S2_D3_Wholesaler'!I5)</f>
        <v/>
      </c>
      <c r="P8" s="2">
        <f>CHOOSE(Inputs!$B$12,'S2_D1_Wholesaler'!J5,'S2_D2_Wholesaler'!J5,'S2_D3_Wholesaler'!J5)</f>
        <v/>
      </c>
      <c r="Q8" s="2">
        <f>CHOOSE(Inputs!$B$12,'S2_D1_Wholesaler'!P5,'S2_D2_Wholesaler'!P5,'S2_D3_Wholesaler'!P5)</f>
        <v/>
      </c>
      <c r="R8" s="2">
        <f>CHOOSE(Inputs!$B$12,'S2_D1_Wholesaler'!K5,'S2_D2_Wholesaler'!K5,'S2_D3_Wholesaler'!K5)</f>
        <v/>
      </c>
      <c r="S8" s="2">
        <f>CHOOSE(Inputs!$B$12,'S2_D1_Wholesaler'!L5,'S2_D2_Wholesaler'!L5,'S2_D3_Wholesaler'!L5)</f>
        <v/>
      </c>
      <c r="T8" s="2">
        <f>CHOOSE(Inputs!$B$12,'S2_D1_Wholesaler'!M5,'S2_D2_Wholesaler'!M5,'S2_D3_Wholesaler'!M5)</f>
        <v/>
      </c>
      <c r="U8" s="2">
        <f>CHOOSE(Inputs!$B$12,'S2_D1_Wholesaler'!N5,'S2_D2_Wholesaler'!N5,'S2_D3_Wholesaler'!N5)</f>
        <v/>
      </c>
      <c r="V8" s="2">
        <f>CHOOSE(Inputs!$B$12,'S2_D1_Distributor'!C5,'S2_D2_Distributor'!C5,'S2_D3_Distributor'!C5)</f>
        <v/>
      </c>
      <c r="W8" s="2">
        <f>CHOOSE(Inputs!$B$12,'S2_D1_Distributor'!D5,'S2_D2_Distributor'!D5,'S2_D3_Distributor'!D5)</f>
        <v/>
      </c>
      <c r="X8" s="2">
        <f>CHOOSE(Inputs!$B$12,'S2_D1_Distributor'!H5,'S2_D2_Distributor'!H5,'S2_D3_Distributor'!H5)</f>
        <v/>
      </c>
      <c r="Y8" s="2">
        <f>CHOOSE(Inputs!$B$12,'S2_D1_Distributor'!I5,'S2_D2_Distributor'!I5,'S2_D3_Distributor'!I5)</f>
        <v/>
      </c>
      <c r="Z8" s="2">
        <f>CHOOSE(Inputs!$B$12,'S2_D1_Distributor'!J5,'S2_D2_Distributor'!J5,'S2_D3_Distributor'!J5)</f>
        <v/>
      </c>
      <c r="AA8" s="2">
        <f>CHOOSE(Inputs!$B$12,'S2_D1_Distributor'!P5,'S2_D2_Distributor'!P5,'S2_D3_Distributor'!P5)</f>
        <v/>
      </c>
      <c r="AB8" s="2">
        <f>CHOOSE(Inputs!$B$12,'S2_D1_Distributor'!K5,'S2_D2_Distributor'!K5,'S2_D3_Distributor'!K5)</f>
        <v/>
      </c>
      <c r="AC8" s="2">
        <f>CHOOSE(Inputs!$B$12,'S2_D1_Distributor'!L5,'S2_D2_Distributor'!L5,'S2_D3_Distributor'!L5)</f>
        <v/>
      </c>
      <c r="AD8" s="2">
        <f>CHOOSE(Inputs!$B$12,'S2_D1_Distributor'!M5,'S2_D2_Distributor'!M5,'S2_D3_Distributor'!M5)</f>
        <v/>
      </c>
      <c r="AE8" s="2">
        <f>CHOOSE(Inputs!$B$12,'S2_D1_Distributor'!N5,'S2_D2_Distributor'!N5,'S2_D3_Distributor'!N5)</f>
        <v/>
      </c>
      <c r="AF8" s="2">
        <f>CHOOSE(Inputs!$B$12,'S2_D1_Factory'!C5,'S2_D2_Factory'!C5,'S2_D3_Factory'!C5)</f>
        <v/>
      </c>
      <c r="AG8" s="2">
        <f>CHOOSE(Inputs!$B$12,'S2_D1_Factory'!D5,'S2_D2_Factory'!D5,'S2_D3_Factory'!D5)</f>
        <v/>
      </c>
      <c r="AH8" s="2">
        <f>CHOOSE(Inputs!$B$12,'S2_D1_Factory'!H5,'S2_D2_Factory'!H5,'S2_D3_Factory'!H5)</f>
        <v/>
      </c>
      <c r="AI8" s="2">
        <f>CHOOSE(Inputs!$B$12,'S2_D1_Factory'!I5,'S2_D2_Factory'!I5,'S2_D3_Factory'!I5)</f>
        <v/>
      </c>
      <c r="AJ8" s="2">
        <f>CHOOSE(Inputs!$B$12,'S2_D1_Factory'!J5,'S2_D2_Factory'!J5,'S2_D3_Factory'!J5)</f>
        <v/>
      </c>
      <c r="AK8" s="2">
        <f>CHOOSE(Inputs!$B$12,'S2_D1_Factory'!P5,'S2_D2_Factory'!P5,'S2_D3_Factory'!P5)</f>
        <v/>
      </c>
      <c r="AL8" s="2">
        <f>CHOOSE(Inputs!$B$12,'S2_D1_Factory'!K5,'S2_D2_Factory'!K5,'S2_D3_Factory'!K5)</f>
        <v/>
      </c>
      <c r="AM8" s="2">
        <f>CHOOSE(Inputs!$B$12,'S2_D1_Factory'!L5,'S2_D2_Factory'!L5,'S2_D3_Factory'!L5)</f>
        <v/>
      </c>
      <c r="AN8" s="2">
        <f>CHOOSE(Inputs!$B$12,'S2_D1_Factory'!M5,'S2_D2_Factory'!M5,'S2_D3_Factory'!M5)</f>
        <v/>
      </c>
      <c r="AO8" s="2">
        <f>CHOOSE(Inputs!$B$12,'S2_D1_Factory'!N5,'S2_D2_Factory'!N5,'S2_D3_Factory'!N5)</f>
        <v/>
      </c>
      <c r="AP8" s="2">
        <f>SUM(H8,R8,AB8,AL8)</f>
        <v/>
      </c>
      <c r="AQ8" s="2">
        <f>SUM(I8,S8,AC8,AM8)</f>
        <v/>
      </c>
      <c r="AR8" s="2">
        <f>SUM(J8,T8,AD8,AN8)</f>
        <v/>
      </c>
      <c r="AS8" s="2">
        <f>AS7+AR8</f>
        <v/>
      </c>
    </row>
    <row r="9">
      <c r="A9" s="2" t="n">
        <v>5</v>
      </c>
      <c r="B9" s="2">
        <f>CHOOSE(Inputs!$B$12,'S2_D1_Retailer'!C6,'S2_D2_Retailer'!C6,'S2_D3_Retailer'!C6)</f>
        <v/>
      </c>
      <c r="C9" s="2">
        <f>CHOOSE(Inputs!$B$12,'S2_D1_Retailer'!D6,'S2_D2_Retailer'!D6,'S2_D3_Retailer'!D6)</f>
        <v/>
      </c>
      <c r="D9" s="2">
        <f>CHOOSE(Inputs!$B$12,'S2_D1_Retailer'!H6,'S2_D2_Retailer'!H6,'S2_D3_Retailer'!H6)</f>
        <v/>
      </c>
      <c r="E9" s="2">
        <f>CHOOSE(Inputs!$B$12,'S2_D1_Retailer'!I6,'S2_D2_Retailer'!I6,'S2_D3_Retailer'!I6)</f>
        <v/>
      </c>
      <c r="F9" s="2">
        <f>CHOOSE(Inputs!$B$12,'S2_D1_Retailer'!J6,'S2_D2_Retailer'!J6,'S2_D3_Retailer'!J6)</f>
        <v/>
      </c>
      <c r="G9" s="2">
        <f>CHOOSE(Inputs!$B$12,'S2_D1_Retailer'!P6,'S2_D2_Retailer'!P6,'S2_D3_Retailer'!P6)</f>
        <v/>
      </c>
      <c r="H9" s="2">
        <f>CHOOSE(Inputs!$B$12,'S2_D1_Retailer'!K6,'S2_D2_Retailer'!K6,'S2_D3_Retailer'!K6)</f>
        <v/>
      </c>
      <c r="I9" s="2">
        <f>CHOOSE(Inputs!$B$12,'S2_D1_Retailer'!L6,'S2_D2_Retailer'!L6,'S2_D3_Retailer'!L6)</f>
        <v/>
      </c>
      <c r="J9" s="2">
        <f>CHOOSE(Inputs!$B$12,'S2_D1_Retailer'!M6,'S2_D2_Retailer'!M6,'S2_D3_Retailer'!M6)</f>
        <v/>
      </c>
      <c r="K9" s="2">
        <f>CHOOSE(Inputs!$B$12,'S2_D1_Retailer'!N6,'S2_D2_Retailer'!N6,'S2_D3_Retailer'!N6)</f>
        <v/>
      </c>
      <c r="L9" s="2">
        <f>CHOOSE(Inputs!$B$12,'S2_D1_Wholesaler'!C6,'S2_D2_Wholesaler'!C6,'S2_D3_Wholesaler'!C6)</f>
        <v/>
      </c>
      <c r="M9" s="2">
        <f>CHOOSE(Inputs!$B$12,'S2_D1_Wholesaler'!D6,'S2_D2_Wholesaler'!D6,'S2_D3_Wholesaler'!D6)</f>
        <v/>
      </c>
      <c r="N9" s="2">
        <f>CHOOSE(Inputs!$B$12,'S2_D1_Wholesaler'!H6,'S2_D2_Wholesaler'!H6,'S2_D3_Wholesaler'!H6)</f>
        <v/>
      </c>
      <c r="O9" s="2">
        <f>CHOOSE(Inputs!$B$12,'S2_D1_Wholesaler'!I6,'S2_D2_Wholesaler'!I6,'S2_D3_Wholesaler'!I6)</f>
        <v/>
      </c>
      <c r="P9" s="2">
        <f>CHOOSE(Inputs!$B$12,'S2_D1_Wholesaler'!J6,'S2_D2_Wholesaler'!J6,'S2_D3_Wholesaler'!J6)</f>
        <v/>
      </c>
      <c r="Q9" s="2">
        <f>CHOOSE(Inputs!$B$12,'S2_D1_Wholesaler'!P6,'S2_D2_Wholesaler'!P6,'S2_D3_Wholesaler'!P6)</f>
        <v/>
      </c>
      <c r="R9" s="2">
        <f>CHOOSE(Inputs!$B$12,'S2_D1_Wholesaler'!K6,'S2_D2_Wholesaler'!K6,'S2_D3_Wholesaler'!K6)</f>
        <v/>
      </c>
      <c r="S9" s="2">
        <f>CHOOSE(Inputs!$B$12,'S2_D1_Wholesaler'!L6,'S2_D2_Wholesaler'!L6,'S2_D3_Wholesaler'!L6)</f>
        <v/>
      </c>
      <c r="T9" s="2">
        <f>CHOOSE(Inputs!$B$12,'S2_D1_Wholesaler'!M6,'S2_D2_Wholesaler'!M6,'S2_D3_Wholesaler'!M6)</f>
        <v/>
      </c>
      <c r="U9" s="2">
        <f>CHOOSE(Inputs!$B$12,'S2_D1_Wholesaler'!N6,'S2_D2_Wholesaler'!N6,'S2_D3_Wholesaler'!N6)</f>
        <v/>
      </c>
      <c r="V9" s="2">
        <f>CHOOSE(Inputs!$B$12,'S2_D1_Distributor'!C6,'S2_D2_Distributor'!C6,'S2_D3_Distributor'!C6)</f>
        <v/>
      </c>
      <c r="W9" s="2">
        <f>CHOOSE(Inputs!$B$12,'S2_D1_Distributor'!D6,'S2_D2_Distributor'!D6,'S2_D3_Distributor'!D6)</f>
        <v/>
      </c>
      <c r="X9" s="2">
        <f>CHOOSE(Inputs!$B$12,'S2_D1_Distributor'!H6,'S2_D2_Distributor'!H6,'S2_D3_Distributor'!H6)</f>
        <v/>
      </c>
      <c r="Y9" s="2">
        <f>CHOOSE(Inputs!$B$12,'S2_D1_Distributor'!I6,'S2_D2_Distributor'!I6,'S2_D3_Distributor'!I6)</f>
        <v/>
      </c>
      <c r="Z9" s="2">
        <f>CHOOSE(Inputs!$B$12,'S2_D1_Distributor'!J6,'S2_D2_Distributor'!J6,'S2_D3_Distributor'!J6)</f>
        <v/>
      </c>
      <c r="AA9" s="2">
        <f>CHOOSE(Inputs!$B$12,'S2_D1_Distributor'!P6,'S2_D2_Distributor'!P6,'S2_D3_Distributor'!P6)</f>
        <v/>
      </c>
      <c r="AB9" s="2">
        <f>CHOOSE(Inputs!$B$12,'S2_D1_Distributor'!K6,'S2_D2_Distributor'!K6,'S2_D3_Distributor'!K6)</f>
        <v/>
      </c>
      <c r="AC9" s="2">
        <f>CHOOSE(Inputs!$B$12,'S2_D1_Distributor'!L6,'S2_D2_Distributor'!L6,'S2_D3_Distributor'!L6)</f>
        <v/>
      </c>
      <c r="AD9" s="2">
        <f>CHOOSE(Inputs!$B$12,'S2_D1_Distributor'!M6,'S2_D2_Distributor'!M6,'S2_D3_Distributor'!M6)</f>
        <v/>
      </c>
      <c r="AE9" s="2">
        <f>CHOOSE(Inputs!$B$12,'S2_D1_Distributor'!N6,'S2_D2_Distributor'!N6,'S2_D3_Distributor'!N6)</f>
        <v/>
      </c>
      <c r="AF9" s="2">
        <f>CHOOSE(Inputs!$B$12,'S2_D1_Factory'!C6,'S2_D2_Factory'!C6,'S2_D3_Factory'!C6)</f>
        <v/>
      </c>
      <c r="AG9" s="2">
        <f>CHOOSE(Inputs!$B$12,'S2_D1_Factory'!D6,'S2_D2_Factory'!D6,'S2_D3_Factory'!D6)</f>
        <v/>
      </c>
      <c r="AH9" s="2">
        <f>CHOOSE(Inputs!$B$12,'S2_D1_Factory'!H6,'S2_D2_Factory'!H6,'S2_D3_Factory'!H6)</f>
        <v/>
      </c>
      <c r="AI9" s="2">
        <f>CHOOSE(Inputs!$B$12,'S2_D1_Factory'!I6,'S2_D2_Factory'!I6,'S2_D3_Factory'!I6)</f>
        <v/>
      </c>
      <c r="AJ9" s="2">
        <f>CHOOSE(Inputs!$B$12,'S2_D1_Factory'!J6,'S2_D2_Factory'!J6,'S2_D3_Factory'!J6)</f>
        <v/>
      </c>
      <c r="AK9" s="2">
        <f>CHOOSE(Inputs!$B$12,'S2_D1_Factory'!P6,'S2_D2_Factory'!P6,'S2_D3_Factory'!P6)</f>
        <v/>
      </c>
      <c r="AL9" s="2">
        <f>CHOOSE(Inputs!$B$12,'S2_D1_Factory'!K6,'S2_D2_Factory'!K6,'S2_D3_Factory'!K6)</f>
        <v/>
      </c>
      <c r="AM9" s="2">
        <f>CHOOSE(Inputs!$B$12,'S2_D1_Factory'!L6,'S2_D2_Factory'!L6,'S2_D3_Factory'!L6)</f>
        <v/>
      </c>
      <c r="AN9" s="2">
        <f>CHOOSE(Inputs!$B$12,'S2_D1_Factory'!M6,'S2_D2_Factory'!M6,'S2_D3_Factory'!M6)</f>
        <v/>
      </c>
      <c r="AO9" s="2">
        <f>CHOOSE(Inputs!$B$12,'S2_D1_Factory'!N6,'S2_D2_Factory'!N6,'S2_D3_Factory'!N6)</f>
        <v/>
      </c>
      <c r="AP9" s="2">
        <f>SUM(H9,R9,AB9,AL9)</f>
        <v/>
      </c>
      <c r="AQ9" s="2">
        <f>SUM(I9,S9,AC9,AM9)</f>
        <v/>
      </c>
      <c r="AR9" s="2">
        <f>SUM(J9,T9,AD9,AN9)</f>
        <v/>
      </c>
      <c r="AS9" s="2">
        <f>AS8+AR9</f>
        <v/>
      </c>
    </row>
    <row r="10">
      <c r="A10" s="2" t="n">
        <v>6</v>
      </c>
      <c r="B10" s="2">
        <f>CHOOSE(Inputs!$B$12,'S2_D1_Retailer'!C7,'S2_D2_Retailer'!C7,'S2_D3_Retailer'!C7)</f>
        <v/>
      </c>
      <c r="C10" s="2">
        <f>CHOOSE(Inputs!$B$12,'S2_D1_Retailer'!D7,'S2_D2_Retailer'!D7,'S2_D3_Retailer'!D7)</f>
        <v/>
      </c>
      <c r="D10" s="2">
        <f>CHOOSE(Inputs!$B$12,'S2_D1_Retailer'!H7,'S2_D2_Retailer'!H7,'S2_D3_Retailer'!H7)</f>
        <v/>
      </c>
      <c r="E10" s="2">
        <f>CHOOSE(Inputs!$B$12,'S2_D1_Retailer'!I7,'S2_D2_Retailer'!I7,'S2_D3_Retailer'!I7)</f>
        <v/>
      </c>
      <c r="F10" s="2">
        <f>CHOOSE(Inputs!$B$12,'S2_D1_Retailer'!J7,'S2_D2_Retailer'!J7,'S2_D3_Retailer'!J7)</f>
        <v/>
      </c>
      <c r="G10" s="2">
        <f>CHOOSE(Inputs!$B$12,'S2_D1_Retailer'!P7,'S2_D2_Retailer'!P7,'S2_D3_Retailer'!P7)</f>
        <v/>
      </c>
      <c r="H10" s="2">
        <f>CHOOSE(Inputs!$B$12,'S2_D1_Retailer'!K7,'S2_D2_Retailer'!K7,'S2_D3_Retailer'!K7)</f>
        <v/>
      </c>
      <c r="I10" s="2">
        <f>CHOOSE(Inputs!$B$12,'S2_D1_Retailer'!L7,'S2_D2_Retailer'!L7,'S2_D3_Retailer'!L7)</f>
        <v/>
      </c>
      <c r="J10" s="2">
        <f>CHOOSE(Inputs!$B$12,'S2_D1_Retailer'!M7,'S2_D2_Retailer'!M7,'S2_D3_Retailer'!M7)</f>
        <v/>
      </c>
      <c r="K10" s="2">
        <f>CHOOSE(Inputs!$B$12,'S2_D1_Retailer'!N7,'S2_D2_Retailer'!N7,'S2_D3_Retailer'!N7)</f>
        <v/>
      </c>
      <c r="L10" s="2">
        <f>CHOOSE(Inputs!$B$12,'S2_D1_Wholesaler'!C7,'S2_D2_Wholesaler'!C7,'S2_D3_Wholesaler'!C7)</f>
        <v/>
      </c>
      <c r="M10" s="2">
        <f>CHOOSE(Inputs!$B$12,'S2_D1_Wholesaler'!D7,'S2_D2_Wholesaler'!D7,'S2_D3_Wholesaler'!D7)</f>
        <v/>
      </c>
      <c r="N10" s="2">
        <f>CHOOSE(Inputs!$B$12,'S2_D1_Wholesaler'!H7,'S2_D2_Wholesaler'!H7,'S2_D3_Wholesaler'!H7)</f>
        <v/>
      </c>
      <c r="O10" s="2">
        <f>CHOOSE(Inputs!$B$12,'S2_D1_Wholesaler'!I7,'S2_D2_Wholesaler'!I7,'S2_D3_Wholesaler'!I7)</f>
        <v/>
      </c>
      <c r="P10" s="2">
        <f>CHOOSE(Inputs!$B$12,'S2_D1_Wholesaler'!J7,'S2_D2_Wholesaler'!J7,'S2_D3_Wholesaler'!J7)</f>
        <v/>
      </c>
      <c r="Q10" s="2">
        <f>CHOOSE(Inputs!$B$12,'S2_D1_Wholesaler'!P7,'S2_D2_Wholesaler'!P7,'S2_D3_Wholesaler'!P7)</f>
        <v/>
      </c>
      <c r="R10" s="2">
        <f>CHOOSE(Inputs!$B$12,'S2_D1_Wholesaler'!K7,'S2_D2_Wholesaler'!K7,'S2_D3_Wholesaler'!K7)</f>
        <v/>
      </c>
      <c r="S10" s="2">
        <f>CHOOSE(Inputs!$B$12,'S2_D1_Wholesaler'!L7,'S2_D2_Wholesaler'!L7,'S2_D3_Wholesaler'!L7)</f>
        <v/>
      </c>
      <c r="T10" s="2">
        <f>CHOOSE(Inputs!$B$12,'S2_D1_Wholesaler'!M7,'S2_D2_Wholesaler'!M7,'S2_D3_Wholesaler'!M7)</f>
        <v/>
      </c>
      <c r="U10" s="2">
        <f>CHOOSE(Inputs!$B$12,'S2_D1_Wholesaler'!N7,'S2_D2_Wholesaler'!N7,'S2_D3_Wholesaler'!N7)</f>
        <v/>
      </c>
      <c r="V10" s="2">
        <f>CHOOSE(Inputs!$B$12,'S2_D1_Distributor'!C7,'S2_D2_Distributor'!C7,'S2_D3_Distributor'!C7)</f>
        <v/>
      </c>
      <c r="W10" s="2">
        <f>CHOOSE(Inputs!$B$12,'S2_D1_Distributor'!D7,'S2_D2_Distributor'!D7,'S2_D3_Distributor'!D7)</f>
        <v/>
      </c>
      <c r="X10" s="2">
        <f>CHOOSE(Inputs!$B$12,'S2_D1_Distributor'!H7,'S2_D2_Distributor'!H7,'S2_D3_Distributor'!H7)</f>
        <v/>
      </c>
      <c r="Y10" s="2">
        <f>CHOOSE(Inputs!$B$12,'S2_D1_Distributor'!I7,'S2_D2_Distributor'!I7,'S2_D3_Distributor'!I7)</f>
        <v/>
      </c>
      <c r="Z10" s="2">
        <f>CHOOSE(Inputs!$B$12,'S2_D1_Distributor'!J7,'S2_D2_Distributor'!J7,'S2_D3_Distributor'!J7)</f>
        <v/>
      </c>
      <c r="AA10" s="2">
        <f>CHOOSE(Inputs!$B$12,'S2_D1_Distributor'!P7,'S2_D2_Distributor'!P7,'S2_D3_Distributor'!P7)</f>
        <v/>
      </c>
      <c r="AB10" s="2">
        <f>CHOOSE(Inputs!$B$12,'S2_D1_Distributor'!K7,'S2_D2_Distributor'!K7,'S2_D3_Distributor'!K7)</f>
        <v/>
      </c>
      <c r="AC10" s="2">
        <f>CHOOSE(Inputs!$B$12,'S2_D1_Distributor'!L7,'S2_D2_Distributor'!L7,'S2_D3_Distributor'!L7)</f>
        <v/>
      </c>
      <c r="AD10" s="2">
        <f>CHOOSE(Inputs!$B$12,'S2_D1_Distributor'!M7,'S2_D2_Distributor'!M7,'S2_D3_Distributor'!M7)</f>
        <v/>
      </c>
      <c r="AE10" s="2">
        <f>CHOOSE(Inputs!$B$12,'S2_D1_Distributor'!N7,'S2_D2_Distributor'!N7,'S2_D3_Distributor'!N7)</f>
        <v/>
      </c>
      <c r="AF10" s="2">
        <f>CHOOSE(Inputs!$B$12,'S2_D1_Factory'!C7,'S2_D2_Factory'!C7,'S2_D3_Factory'!C7)</f>
        <v/>
      </c>
      <c r="AG10" s="2">
        <f>CHOOSE(Inputs!$B$12,'S2_D1_Factory'!D7,'S2_D2_Factory'!D7,'S2_D3_Factory'!D7)</f>
        <v/>
      </c>
      <c r="AH10" s="2">
        <f>CHOOSE(Inputs!$B$12,'S2_D1_Factory'!H7,'S2_D2_Factory'!H7,'S2_D3_Factory'!H7)</f>
        <v/>
      </c>
      <c r="AI10" s="2">
        <f>CHOOSE(Inputs!$B$12,'S2_D1_Factory'!I7,'S2_D2_Factory'!I7,'S2_D3_Factory'!I7)</f>
        <v/>
      </c>
      <c r="AJ10" s="2">
        <f>CHOOSE(Inputs!$B$12,'S2_D1_Factory'!J7,'S2_D2_Factory'!J7,'S2_D3_Factory'!J7)</f>
        <v/>
      </c>
      <c r="AK10" s="2">
        <f>CHOOSE(Inputs!$B$12,'S2_D1_Factory'!P7,'S2_D2_Factory'!P7,'S2_D3_Factory'!P7)</f>
        <v/>
      </c>
      <c r="AL10" s="2">
        <f>CHOOSE(Inputs!$B$12,'S2_D1_Factory'!K7,'S2_D2_Factory'!K7,'S2_D3_Factory'!K7)</f>
        <v/>
      </c>
      <c r="AM10" s="2">
        <f>CHOOSE(Inputs!$B$12,'S2_D1_Factory'!L7,'S2_D2_Factory'!L7,'S2_D3_Factory'!L7)</f>
        <v/>
      </c>
      <c r="AN10" s="2">
        <f>CHOOSE(Inputs!$B$12,'S2_D1_Factory'!M7,'S2_D2_Factory'!M7,'S2_D3_Factory'!M7)</f>
        <v/>
      </c>
      <c r="AO10" s="2">
        <f>CHOOSE(Inputs!$B$12,'S2_D1_Factory'!N7,'S2_D2_Factory'!N7,'S2_D3_Factory'!N7)</f>
        <v/>
      </c>
      <c r="AP10" s="2">
        <f>SUM(H10,R10,AB10,AL10)</f>
        <v/>
      </c>
      <c r="AQ10" s="2">
        <f>SUM(I10,S10,AC10,AM10)</f>
        <v/>
      </c>
      <c r="AR10" s="2">
        <f>SUM(J10,T10,AD10,AN10)</f>
        <v/>
      </c>
      <c r="AS10" s="2">
        <f>AS9+AR10</f>
        <v/>
      </c>
    </row>
    <row r="11">
      <c r="A11" s="2" t="n">
        <v>7</v>
      </c>
      <c r="B11" s="2">
        <f>CHOOSE(Inputs!$B$12,'S2_D1_Retailer'!C8,'S2_D2_Retailer'!C8,'S2_D3_Retailer'!C8)</f>
        <v/>
      </c>
      <c r="C11" s="2">
        <f>CHOOSE(Inputs!$B$12,'S2_D1_Retailer'!D8,'S2_D2_Retailer'!D8,'S2_D3_Retailer'!D8)</f>
        <v/>
      </c>
      <c r="D11" s="2">
        <f>CHOOSE(Inputs!$B$12,'S2_D1_Retailer'!H8,'S2_D2_Retailer'!H8,'S2_D3_Retailer'!H8)</f>
        <v/>
      </c>
      <c r="E11" s="2">
        <f>CHOOSE(Inputs!$B$12,'S2_D1_Retailer'!I8,'S2_D2_Retailer'!I8,'S2_D3_Retailer'!I8)</f>
        <v/>
      </c>
      <c r="F11" s="2">
        <f>CHOOSE(Inputs!$B$12,'S2_D1_Retailer'!J8,'S2_D2_Retailer'!J8,'S2_D3_Retailer'!J8)</f>
        <v/>
      </c>
      <c r="G11" s="2">
        <f>CHOOSE(Inputs!$B$12,'S2_D1_Retailer'!P8,'S2_D2_Retailer'!P8,'S2_D3_Retailer'!P8)</f>
        <v/>
      </c>
      <c r="H11" s="2">
        <f>CHOOSE(Inputs!$B$12,'S2_D1_Retailer'!K8,'S2_D2_Retailer'!K8,'S2_D3_Retailer'!K8)</f>
        <v/>
      </c>
      <c r="I11" s="2">
        <f>CHOOSE(Inputs!$B$12,'S2_D1_Retailer'!L8,'S2_D2_Retailer'!L8,'S2_D3_Retailer'!L8)</f>
        <v/>
      </c>
      <c r="J11" s="2">
        <f>CHOOSE(Inputs!$B$12,'S2_D1_Retailer'!M8,'S2_D2_Retailer'!M8,'S2_D3_Retailer'!M8)</f>
        <v/>
      </c>
      <c r="K11" s="2">
        <f>CHOOSE(Inputs!$B$12,'S2_D1_Retailer'!N8,'S2_D2_Retailer'!N8,'S2_D3_Retailer'!N8)</f>
        <v/>
      </c>
      <c r="L11" s="2">
        <f>CHOOSE(Inputs!$B$12,'S2_D1_Wholesaler'!C8,'S2_D2_Wholesaler'!C8,'S2_D3_Wholesaler'!C8)</f>
        <v/>
      </c>
      <c r="M11" s="2">
        <f>CHOOSE(Inputs!$B$12,'S2_D1_Wholesaler'!D8,'S2_D2_Wholesaler'!D8,'S2_D3_Wholesaler'!D8)</f>
        <v/>
      </c>
      <c r="N11" s="2">
        <f>CHOOSE(Inputs!$B$12,'S2_D1_Wholesaler'!H8,'S2_D2_Wholesaler'!H8,'S2_D3_Wholesaler'!H8)</f>
        <v/>
      </c>
      <c r="O11" s="2">
        <f>CHOOSE(Inputs!$B$12,'S2_D1_Wholesaler'!I8,'S2_D2_Wholesaler'!I8,'S2_D3_Wholesaler'!I8)</f>
        <v/>
      </c>
      <c r="P11" s="2">
        <f>CHOOSE(Inputs!$B$12,'S2_D1_Wholesaler'!J8,'S2_D2_Wholesaler'!J8,'S2_D3_Wholesaler'!J8)</f>
        <v/>
      </c>
      <c r="Q11" s="2">
        <f>CHOOSE(Inputs!$B$12,'S2_D1_Wholesaler'!P8,'S2_D2_Wholesaler'!P8,'S2_D3_Wholesaler'!P8)</f>
        <v/>
      </c>
      <c r="R11" s="2">
        <f>CHOOSE(Inputs!$B$12,'S2_D1_Wholesaler'!K8,'S2_D2_Wholesaler'!K8,'S2_D3_Wholesaler'!K8)</f>
        <v/>
      </c>
      <c r="S11" s="2">
        <f>CHOOSE(Inputs!$B$12,'S2_D1_Wholesaler'!L8,'S2_D2_Wholesaler'!L8,'S2_D3_Wholesaler'!L8)</f>
        <v/>
      </c>
      <c r="T11" s="2">
        <f>CHOOSE(Inputs!$B$12,'S2_D1_Wholesaler'!M8,'S2_D2_Wholesaler'!M8,'S2_D3_Wholesaler'!M8)</f>
        <v/>
      </c>
      <c r="U11" s="2">
        <f>CHOOSE(Inputs!$B$12,'S2_D1_Wholesaler'!N8,'S2_D2_Wholesaler'!N8,'S2_D3_Wholesaler'!N8)</f>
        <v/>
      </c>
      <c r="V11" s="2">
        <f>CHOOSE(Inputs!$B$12,'S2_D1_Distributor'!C8,'S2_D2_Distributor'!C8,'S2_D3_Distributor'!C8)</f>
        <v/>
      </c>
      <c r="W11" s="2">
        <f>CHOOSE(Inputs!$B$12,'S2_D1_Distributor'!D8,'S2_D2_Distributor'!D8,'S2_D3_Distributor'!D8)</f>
        <v/>
      </c>
      <c r="X11" s="2">
        <f>CHOOSE(Inputs!$B$12,'S2_D1_Distributor'!H8,'S2_D2_Distributor'!H8,'S2_D3_Distributor'!H8)</f>
        <v/>
      </c>
      <c r="Y11" s="2">
        <f>CHOOSE(Inputs!$B$12,'S2_D1_Distributor'!I8,'S2_D2_Distributor'!I8,'S2_D3_Distributor'!I8)</f>
        <v/>
      </c>
      <c r="Z11" s="2">
        <f>CHOOSE(Inputs!$B$12,'S2_D1_Distributor'!J8,'S2_D2_Distributor'!J8,'S2_D3_Distributor'!J8)</f>
        <v/>
      </c>
      <c r="AA11" s="2">
        <f>CHOOSE(Inputs!$B$12,'S2_D1_Distributor'!P8,'S2_D2_Distributor'!P8,'S2_D3_Distributor'!P8)</f>
        <v/>
      </c>
      <c r="AB11" s="2">
        <f>CHOOSE(Inputs!$B$12,'S2_D1_Distributor'!K8,'S2_D2_Distributor'!K8,'S2_D3_Distributor'!K8)</f>
        <v/>
      </c>
      <c r="AC11" s="2">
        <f>CHOOSE(Inputs!$B$12,'S2_D1_Distributor'!L8,'S2_D2_Distributor'!L8,'S2_D3_Distributor'!L8)</f>
        <v/>
      </c>
      <c r="AD11" s="2">
        <f>CHOOSE(Inputs!$B$12,'S2_D1_Distributor'!M8,'S2_D2_Distributor'!M8,'S2_D3_Distributor'!M8)</f>
        <v/>
      </c>
      <c r="AE11" s="2">
        <f>CHOOSE(Inputs!$B$12,'S2_D1_Distributor'!N8,'S2_D2_Distributor'!N8,'S2_D3_Distributor'!N8)</f>
        <v/>
      </c>
      <c r="AF11" s="2">
        <f>CHOOSE(Inputs!$B$12,'S2_D1_Factory'!C8,'S2_D2_Factory'!C8,'S2_D3_Factory'!C8)</f>
        <v/>
      </c>
      <c r="AG11" s="2">
        <f>CHOOSE(Inputs!$B$12,'S2_D1_Factory'!D8,'S2_D2_Factory'!D8,'S2_D3_Factory'!D8)</f>
        <v/>
      </c>
      <c r="AH11" s="2">
        <f>CHOOSE(Inputs!$B$12,'S2_D1_Factory'!H8,'S2_D2_Factory'!H8,'S2_D3_Factory'!H8)</f>
        <v/>
      </c>
      <c r="AI11" s="2">
        <f>CHOOSE(Inputs!$B$12,'S2_D1_Factory'!I8,'S2_D2_Factory'!I8,'S2_D3_Factory'!I8)</f>
        <v/>
      </c>
      <c r="AJ11" s="2">
        <f>CHOOSE(Inputs!$B$12,'S2_D1_Factory'!J8,'S2_D2_Factory'!J8,'S2_D3_Factory'!J8)</f>
        <v/>
      </c>
      <c r="AK11" s="2">
        <f>CHOOSE(Inputs!$B$12,'S2_D1_Factory'!P8,'S2_D2_Factory'!P8,'S2_D3_Factory'!P8)</f>
        <v/>
      </c>
      <c r="AL11" s="2">
        <f>CHOOSE(Inputs!$B$12,'S2_D1_Factory'!K8,'S2_D2_Factory'!K8,'S2_D3_Factory'!K8)</f>
        <v/>
      </c>
      <c r="AM11" s="2">
        <f>CHOOSE(Inputs!$B$12,'S2_D1_Factory'!L8,'S2_D2_Factory'!L8,'S2_D3_Factory'!L8)</f>
        <v/>
      </c>
      <c r="AN11" s="2">
        <f>CHOOSE(Inputs!$B$12,'S2_D1_Factory'!M8,'S2_D2_Factory'!M8,'S2_D3_Factory'!M8)</f>
        <v/>
      </c>
      <c r="AO11" s="2">
        <f>CHOOSE(Inputs!$B$12,'S2_D1_Factory'!N8,'S2_D2_Factory'!N8,'S2_D3_Factory'!N8)</f>
        <v/>
      </c>
      <c r="AP11" s="2">
        <f>SUM(H11,R11,AB11,AL11)</f>
        <v/>
      </c>
      <c r="AQ11" s="2">
        <f>SUM(I11,S11,AC11,AM11)</f>
        <v/>
      </c>
      <c r="AR11" s="2">
        <f>SUM(J11,T11,AD11,AN11)</f>
        <v/>
      </c>
      <c r="AS11" s="2">
        <f>AS10+AR11</f>
        <v/>
      </c>
    </row>
    <row r="12">
      <c r="A12" s="2" t="n">
        <v>8</v>
      </c>
      <c r="B12" s="2">
        <f>CHOOSE(Inputs!$B$12,'S2_D1_Retailer'!C9,'S2_D2_Retailer'!C9,'S2_D3_Retailer'!C9)</f>
        <v/>
      </c>
      <c r="C12" s="2">
        <f>CHOOSE(Inputs!$B$12,'S2_D1_Retailer'!D9,'S2_D2_Retailer'!D9,'S2_D3_Retailer'!D9)</f>
        <v/>
      </c>
      <c r="D12" s="2">
        <f>CHOOSE(Inputs!$B$12,'S2_D1_Retailer'!H9,'S2_D2_Retailer'!H9,'S2_D3_Retailer'!H9)</f>
        <v/>
      </c>
      <c r="E12" s="2">
        <f>CHOOSE(Inputs!$B$12,'S2_D1_Retailer'!I9,'S2_D2_Retailer'!I9,'S2_D3_Retailer'!I9)</f>
        <v/>
      </c>
      <c r="F12" s="2">
        <f>CHOOSE(Inputs!$B$12,'S2_D1_Retailer'!J9,'S2_D2_Retailer'!J9,'S2_D3_Retailer'!J9)</f>
        <v/>
      </c>
      <c r="G12" s="2">
        <f>CHOOSE(Inputs!$B$12,'S2_D1_Retailer'!P9,'S2_D2_Retailer'!P9,'S2_D3_Retailer'!P9)</f>
        <v/>
      </c>
      <c r="H12" s="2">
        <f>CHOOSE(Inputs!$B$12,'S2_D1_Retailer'!K9,'S2_D2_Retailer'!K9,'S2_D3_Retailer'!K9)</f>
        <v/>
      </c>
      <c r="I12" s="2">
        <f>CHOOSE(Inputs!$B$12,'S2_D1_Retailer'!L9,'S2_D2_Retailer'!L9,'S2_D3_Retailer'!L9)</f>
        <v/>
      </c>
      <c r="J12" s="2">
        <f>CHOOSE(Inputs!$B$12,'S2_D1_Retailer'!M9,'S2_D2_Retailer'!M9,'S2_D3_Retailer'!M9)</f>
        <v/>
      </c>
      <c r="K12" s="2">
        <f>CHOOSE(Inputs!$B$12,'S2_D1_Retailer'!N9,'S2_D2_Retailer'!N9,'S2_D3_Retailer'!N9)</f>
        <v/>
      </c>
      <c r="L12" s="2">
        <f>CHOOSE(Inputs!$B$12,'S2_D1_Wholesaler'!C9,'S2_D2_Wholesaler'!C9,'S2_D3_Wholesaler'!C9)</f>
        <v/>
      </c>
      <c r="M12" s="2">
        <f>CHOOSE(Inputs!$B$12,'S2_D1_Wholesaler'!D9,'S2_D2_Wholesaler'!D9,'S2_D3_Wholesaler'!D9)</f>
        <v/>
      </c>
      <c r="N12" s="2">
        <f>CHOOSE(Inputs!$B$12,'S2_D1_Wholesaler'!H9,'S2_D2_Wholesaler'!H9,'S2_D3_Wholesaler'!H9)</f>
        <v/>
      </c>
      <c r="O12" s="2">
        <f>CHOOSE(Inputs!$B$12,'S2_D1_Wholesaler'!I9,'S2_D2_Wholesaler'!I9,'S2_D3_Wholesaler'!I9)</f>
        <v/>
      </c>
      <c r="P12" s="2">
        <f>CHOOSE(Inputs!$B$12,'S2_D1_Wholesaler'!J9,'S2_D2_Wholesaler'!J9,'S2_D3_Wholesaler'!J9)</f>
        <v/>
      </c>
      <c r="Q12" s="2">
        <f>CHOOSE(Inputs!$B$12,'S2_D1_Wholesaler'!P9,'S2_D2_Wholesaler'!P9,'S2_D3_Wholesaler'!P9)</f>
        <v/>
      </c>
      <c r="R12" s="2">
        <f>CHOOSE(Inputs!$B$12,'S2_D1_Wholesaler'!K9,'S2_D2_Wholesaler'!K9,'S2_D3_Wholesaler'!K9)</f>
        <v/>
      </c>
      <c r="S12" s="2">
        <f>CHOOSE(Inputs!$B$12,'S2_D1_Wholesaler'!L9,'S2_D2_Wholesaler'!L9,'S2_D3_Wholesaler'!L9)</f>
        <v/>
      </c>
      <c r="T12" s="2">
        <f>CHOOSE(Inputs!$B$12,'S2_D1_Wholesaler'!M9,'S2_D2_Wholesaler'!M9,'S2_D3_Wholesaler'!M9)</f>
        <v/>
      </c>
      <c r="U12" s="2">
        <f>CHOOSE(Inputs!$B$12,'S2_D1_Wholesaler'!N9,'S2_D2_Wholesaler'!N9,'S2_D3_Wholesaler'!N9)</f>
        <v/>
      </c>
      <c r="V12" s="2">
        <f>CHOOSE(Inputs!$B$12,'S2_D1_Distributor'!C9,'S2_D2_Distributor'!C9,'S2_D3_Distributor'!C9)</f>
        <v/>
      </c>
      <c r="W12" s="2">
        <f>CHOOSE(Inputs!$B$12,'S2_D1_Distributor'!D9,'S2_D2_Distributor'!D9,'S2_D3_Distributor'!D9)</f>
        <v/>
      </c>
      <c r="X12" s="2">
        <f>CHOOSE(Inputs!$B$12,'S2_D1_Distributor'!H9,'S2_D2_Distributor'!H9,'S2_D3_Distributor'!H9)</f>
        <v/>
      </c>
      <c r="Y12" s="2">
        <f>CHOOSE(Inputs!$B$12,'S2_D1_Distributor'!I9,'S2_D2_Distributor'!I9,'S2_D3_Distributor'!I9)</f>
        <v/>
      </c>
      <c r="Z12" s="2">
        <f>CHOOSE(Inputs!$B$12,'S2_D1_Distributor'!J9,'S2_D2_Distributor'!J9,'S2_D3_Distributor'!J9)</f>
        <v/>
      </c>
      <c r="AA12" s="2">
        <f>CHOOSE(Inputs!$B$12,'S2_D1_Distributor'!P9,'S2_D2_Distributor'!P9,'S2_D3_Distributor'!P9)</f>
        <v/>
      </c>
      <c r="AB12" s="2">
        <f>CHOOSE(Inputs!$B$12,'S2_D1_Distributor'!K9,'S2_D2_Distributor'!K9,'S2_D3_Distributor'!K9)</f>
        <v/>
      </c>
      <c r="AC12" s="2">
        <f>CHOOSE(Inputs!$B$12,'S2_D1_Distributor'!L9,'S2_D2_Distributor'!L9,'S2_D3_Distributor'!L9)</f>
        <v/>
      </c>
      <c r="AD12" s="2">
        <f>CHOOSE(Inputs!$B$12,'S2_D1_Distributor'!M9,'S2_D2_Distributor'!M9,'S2_D3_Distributor'!M9)</f>
        <v/>
      </c>
      <c r="AE12" s="2">
        <f>CHOOSE(Inputs!$B$12,'S2_D1_Distributor'!N9,'S2_D2_Distributor'!N9,'S2_D3_Distributor'!N9)</f>
        <v/>
      </c>
      <c r="AF12" s="2">
        <f>CHOOSE(Inputs!$B$12,'S2_D1_Factory'!C9,'S2_D2_Factory'!C9,'S2_D3_Factory'!C9)</f>
        <v/>
      </c>
      <c r="AG12" s="2">
        <f>CHOOSE(Inputs!$B$12,'S2_D1_Factory'!D9,'S2_D2_Factory'!D9,'S2_D3_Factory'!D9)</f>
        <v/>
      </c>
      <c r="AH12" s="2">
        <f>CHOOSE(Inputs!$B$12,'S2_D1_Factory'!H9,'S2_D2_Factory'!H9,'S2_D3_Factory'!H9)</f>
        <v/>
      </c>
      <c r="AI12" s="2">
        <f>CHOOSE(Inputs!$B$12,'S2_D1_Factory'!I9,'S2_D2_Factory'!I9,'S2_D3_Factory'!I9)</f>
        <v/>
      </c>
      <c r="AJ12" s="2">
        <f>CHOOSE(Inputs!$B$12,'S2_D1_Factory'!J9,'S2_D2_Factory'!J9,'S2_D3_Factory'!J9)</f>
        <v/>
      </c>
      <c r="AK12" s="2">
        <f>CHOOSE(Inputs!$B$12,'S2_D1_Factory'!P9,'S2_D2_Factory'!P9,'S2_D3_Factory'!P9)</f>
        <v/>
      </c>
      <c r="AL12" s="2">
        <f>CHOOSE(Inputs!$B$12,'S2_D1_Factory'!K9,'S2_D2_Factory'!K9,'S2_D3_Factory'!K9)</f>
        <v/>
      </c>
      <c r="AM12" s="2">
        <f>CHOOSE(Inputs!$B$12,'S2_D1_Factory'!L9,'S2_D2_Factory'!L9,'S2_D3_Factory'!L9)</f>
        <v/>
      </c>
      <c r="AN12" s="2">
        <f>CHOOSE(Inputs!$B$12,'S2_D1_Factory'!M9,'S2_D2_Factory'!M9,'S2_D3_Factory'!M9)</f>
        <v/>
      </c>
      <c r="AO12" s="2">
        <f>CHOOSE(Inputs!$B$12,'S2_D1_Factory'!N9,'S2_D2_Factory'!N9,'S2_D3_Factory'!N9)</f>
        <v/>
      </c>
      <c r="AP12" s="2">
        <f>SUM(H12,R12,AB12,AL12)</f>
        <v/>
      </c>
      <c r="AQ12" s="2">
        <f>SUM(I12,S12,AC12,AM12)</f>
        <v/>
      </c>
      <c r="AR12" s="2">
        <f>SUM(J12,T12,AD12,AN12)</f>
        <v/>
      </c>
      <c r="AS12" s="2">
        <f>AS11+AR12</f>
        <v/>
      </c>
    </row>
    <row r="13">
      <c r="A13" s="2" t="n">
        <v>9</v>
      </c>
      <c r="B13" s="2">
        <f>CHOOSE(Inputs!$B$12,'S2_D1_Retailer'!C10,'S2_D2_Retailer'!C10,'S2_D3_Retailer'!C10)</f>
        <v/>
      </c>
      <c r="C13" s="2">
        <f>CHOOSE(Inputs!$B$12,'S2_D1_Retailer'!D10,'S2_D2_Retailer'!D10,'S2_D3_Retailer'!D10)</f>
        <v/>
      </c>
      <c r="D13" s="2">
        <f>CHOOSE(Inputs!$B$12,'S2_D1_Retailer'!H10,'S2_D2_Retailer'!H10,'S2_D3_Retailer'!H10)</f>
        <v/>
      </c>
      <c r="E13" s="2">
        <f>CHOOSE(Inputs!$B$12,'S2_D1_Retailer'!I10,'S2_D2_Retailer'!I10,'S2_D3_Retailer'!I10)</f>
        <v/>
      </c>
      <c r="F13" s="2">
        <f>CHOOSE(Inputs!$B$12,'S2_D1_Retailer'!J10,'S2_D2_Retailer'!J10,'S2_D3_Retailer'!J10)</f>
        <v/>
      </c>
      <c r="G13" s="2">
        <f>CHOOSE(Inputs!$B$12,'S2_D1_Retailer'!P10,'S2_D2_Retailer'!P10,'S2_D3_Retailer'!P10)</f>
        <v/>
      </c>
      <c r="H13" s="2">
        <f>CHOOSE(Inputs!$B$12,'S2_D1_Retailer'!K10,'S2_D2_Retailer'!K10,'S2_D3_Retailer'!K10)</f>
        <v/>
      </c>
      <c r="I13" s="2">
        <f>CHOOSE(Inputs!$B$12,'S2_D1_Retailer'!L10,'S2_D2_Retailer'!L10,'S2_D3_Retailer'!L10)</f>
        <v/>
      </c>
      <c r="J13" s="2">
        <f>CHOOSE(Inputs!$B$12,'S2_D1_Retailer'!M10,'S2_D2_Retailer'!M10,'S2_D3_Retailer'!M10)</f>
        <v/>
      </c>
      <c r="K13" s="2">
        <f>CHOOSE(Inputs!$B$12,'S2_D1_Retailer'!N10,'S2_D2_Retailer'!N10,'S2_D3_Retailer'!N10)</f>
        <v/>
      </c>
      <c r="L13" s="2">
        <f>CHOOSE(Inputs!$B$12,'S2_D1_Wholesaler'!C10,'S2_D2_Wholesaler'!C10,'S2_D3_Wholesaler'!C10)</f>
        <v/>
      </c>
      <c r="M13" s="2">
        <f>CHOOSE(Inputs!$B$12,'S2_D1_Wholesaler'!D10,'S2_D2_Wholesaler'!D10,'S2_D3_Wholesaler'!D10)</f>
        <v/>
      </c>
      <c r="N13" s="2">
        <f>CHOOSE(Inputs!$B$12,'S2_D1_Wholesaler'!H10,'S2_D2_Wholesaler'!H10,'S2_D3_Wholesaler'!H10)</f>
        <v/>
      </c>
      <c r="O13" s="2">
        <f>CHOOSE(Inputs!$B$12,'S2_D1_Wholesaler'!I10,'S2_D2_Wholesaler'!I10,'S2_D3_Wholesaler'!I10)</f>
        <v/>
      </c>
      <c r="P13" s="2">
        <f>CHOOSE(Inputs!$B$12,'S2_D1_Wholesaler'!J10,'S2_D2_Wholesaler'!J10,'S2_D3_Wholesaler'!J10)</f>
        <v/>
      </c>
      <c r="Q13" s="2">
        <f>CHOOSE(Inputs!$B$12,'S2_D1_Wholesaler'!P10,'S2_D2_Wholesaler'!P10,'S2_D3_Wholesaler'!P10)</f>
        <v/>
      </c>
      <c r="R13" s="2">
        <f>CHOOSE(Inputs!$B$12,'S2_D1_Wholesaler'!K10,'S2_D2_Wholesaler'!K10,'S2_D3_Wholesaler'!K10)</f>
        <v/>
      </c>
      <c r="S13" s="2">
        <f>CHOOSE(Inputs!$B$12,'S2_D1_Wholesaler'!L10,'S2_D2_Wholesaler'!L10,'S2_D3_Wholesaler'!L10)</f>
        <v/>
      </c>
      <c r="T13" s="2">
        <f>CHOOSE(Inputs!$B$12,'S2_D1_Wholesaler'!M10,'S2_D2_Wholesaler'!M10,'S2_D3_Wholesaler'!M10)</f>
        <v/>
      </c>
      <c r="U13" s="2">
        <f>CHOOSE(Inputs!$B$12,'S2_D1_Wholesaler'!N10,'S2_D2_Wholesaler'!N10,'S2_D3_Wholesaler'!N10)</f>
        <v/>
      </c>
      <c r="V13" s="2">
        <f>CHOOSE(Inputs!$B$12,'S2_D1_Distributor'!C10,'S2_D2_Distributor'!C10,'S2_D3_Distributor'!C10)</f>
        <v/>
      </c>
      <c r="W13" s="2">
        <f>CHOOSE(Inputs!$B$12,'S2_D1_Distributor'!D10,'S2_D2_Distributor'!D10,'S2_D3_Distributor'!D10)</f>
        <v/>
      </c>
      <c r="X13" s="2">
        <f>CHOOSE(Inputs!$B$12,'S2_D1_Distributor'!H10,'S2_D2_Distributor'!H10,'S2_D3_Distributor'!H10)</f>
        <v/>
      </c>
      <c r="Y13" s="2">
        <f>CHOOSE(Inputs!$B$12,'S2_D1_Distributor'!I10,'S2_D2_Distributor'!I10,'S2_D3_Distributor'!I10)</f>
        <v/>
      </c>
      <c r="Z13" s="2">
        <f>CHOOSE(Inputs!$B$12,'S2_D1_Distributor'!J10,'S2_D2_Distributor'!J10,'S2_D3_Distributor'!J10)</f>
        <v/>
      </c>
      <c r="AA13" s="2">
        <f>CHOOSE(Inputs!$B$12,'S2_D1_Distributor'!P10,'S2_D2_Distributor'!P10,'S2_D3_Distributor'!P10)</f>
        <v/>
      </c>
      <c r="AB13" s="2">
        <f>CHOOSE(Inputs!$B$12,'S2_D1_Distributor'!K10,'S2_D2_Distributor'!K10,'S2_D3_Distributor'!K10)</f>
        <v/>
      </c>
      <c r="AC13" s="2">
        <f>CHOOSE(Inputs!$B$12,'S2_D1_Distributor'!L10,'S2_D2_Distributor'!L10,'S2_D3_Distributor'!L10)</f>
        <v/>
      </c>
      <c r="AD13" s="2">
        <f>CHOOSE(Inputs!$B$12,'S2_D1_Distributor'!M10,'S2_D2_Distributor'!M10,'S2_D3_Distributor'!M10)</f>
        <v/>
      </c>
      <c r="AE13" s="2">
        <f>CHOOSE(Inputs!$B$12,'S2_D1_Distributor'!N10,'S2_D2_Distributor'!N10,'S2_D3_Distributor'!N10)</f>
        <v/>
      </c>
      <c r="AF13" s="2">
        <f>CHOOSE(Inputs!$B$12,'S2_D1_Factory'!C10,'S2_D2_Factory'!C10,'S2_D3_Factory'!C10)</f>
        <v/>
      </c>
      <c r="AG13" s="2">
        <f>CHOOSE(Inputs!$B$12,'S2_D1_Factory'!D10,'S2_D2_Factory'!D10,'S2_D3_Factory'!D10)</f>
        <v/>
      </c>
      <c r="AH13" s="2">
        <f>CHOOSE(Inputs!$B$12,'S2_D1_Factory'!H10,'S2_D2_Factory'!H10,'S2_D3_Factory'!H10)</f>
        <v/>
      </c>
      <c r="AI13" s="2">
        <f>CHOOSE(Inputs!$B$12,'S2_D1_Factory'!I10,'S2_D2_Factory'!I10,'S2_D3_Factory'!I10)</f>
        <v/>
      </c>
      <c r="AJ13" s="2">
        <f>CHOOSE(Inputs!$B$12,'S2_D1_Factory'!J10,'S2_D2_Factory'!J10,'S2_D3_Factory'!J10)</f>
        <v/>
      </c>
      <c r="AK13" s="2">
        <f>CHOOSE(Inputs!$B$12,'S2_D1_Factory'!P10,'S2_D2_Factory'!P10,'S2_D3_Factory'!P10)</f>
        <v/>
      </c>
      <c r="AL13" s="2">
        <f>CHOOSE(Inputs!$B$12,'S2_D1_Factory'!K10,'S2_D2_Factory'!K10,'S2_D3_Factory'!K10)</f>
        <v/>
      </c>
      <c r="AM13" s="2">
        <f>CHOOSE(Inputs!$B$12,'S2_D1_Factory'!L10,'S2_D2_Factory'!L10,'S2_D3_Factory'!L10)</f>
        <v/>
      </c>
      <c r="AN13" s="2">
        <f>CHOOSE(Inputs!$B$12,'S2_D1_Factory'!M10,'S2_D2_Factory'!M10,'S2_D3_Factory'!M10)</f>
        <v/>
      </c>
      <c r="AO13" s="2">
        <f>CHOOSE(Inputs!$B$12,'S2_D1_Factory'!N10,'S2_D2_Factory'!N10,'S2_D3_Factory'!N10)</f>
        <v/>
      </c>
      <c r="AP13" s="2">
        <f>SUM(H13,R13,AB13,AL13)</f>
        <v/>
      </c>
      <c r="AQ13" s="2">
        <f>SUM(I13,S13,AC13,AM13)</f>
        <v/>
      </c>
      <c r="AR13" s="2">
        <f>SUM(J13,T13,AD13,AN13)</f>
        <v/>
      </c>
      <c r="AS13" s="2">
        <f>AS12+AR13</f>
        <v/>
      </c>
    </row>
    <row r="14">
      <c r="A14" s="2" t="n">
        <v>10</v>
      </c>
      <c r="B14" s="2">
        <f>CHOOSE(Inputs!$B$12,'S2_D1_Retailer'!C11,'S2_D2_Retailer'!C11,'S2_D3_Retailer'!C11)</f>
        <v/>
      </c>
      <c r="C14" s="2">
        <f>CHOOSE(Inputs!$B$12,'S2_D1_Retailer'!D11,'S2_D2_Retailer'!D11,'S2_D3_Retailer'!D11)</f>
        <v/>
      </c>
      <c r="D14" s="2">
        <f>CHOOSE(Inputs!$B$12,'S2_D1_Retailer'!H11,'S2_D2_Retailer'!H11,'S2_D3_Retailer'!H11)</f>
        <v/>
      </c>
      <c r="E14" s="2">
        <f>CHOOSE(Inputs!$B$12,'S2_D1_Retailer'!I11,'S2_D2_Retailer'!I11,'S2_D3_Retailer'!I11)</f>
        <v/>
      </c>
      <c r="F14" s="2">
        <f>CHOOSE(Inputs!$B$12,'S2_D1_Retailer'!J11,'S2_D2_Retailer'!J11,'S2_D3_Retailer'!J11)</f>
        <v/>
      </c>
      <c r="G14" s="2">
        <f>CHOOSE(Inputs!$B$12,'S2_D1_Retailer'!P11,'S2_D2_Retailer'!P11,'S2_D3_Retailer'!P11)</f>
        <v/>
      </c>
      <c r="H14" s="2">
        <f>CHOOSE(Inputs!$B$12,'S2_D1_Retailer'!K11,'S2_D2_Retailer'!K11,'S2_D3_Retailer'!K11)</f>
        <v/>
      </c>
      <c r="I14" s="2">
        <f>CHOOSE(Inputs!$B$12,'S2_D1_Retailer'!L11,'S2_D2_Retailer'!L11,'S2_D3_Retailer'!L11)</f>
        <v/>
      </c>
      <c r="J14" s="2">
        <f>CHOOSE(Inputs!$B$12,'S2_D1_Retailer'!M11,'S2_D2_Retailer'!M11,'S2_D3_Retailer'!M11)</f>
        <v/>
      </c>
      <c r="K14" s="2">
        <f>CHOOSE(Inputs!$B$12,'S2_D1_Retailer'!N11,'S2_D2_Retailer'!N11,'S2_D3_Retailer'!N11)</f>
        <v/>
      </c>
      <c r="L14" s="2">
        <f>CHOOSE(Inputs!$B$12,'S2_D1_Wholesaler'!C11,'S2_D2_Wholesaler'!C11,'S2_D3_Wholesaler'!C11)</f>
        <v/>
      </c>
      <c r="M14" s="2">
        <f>CHOOSE(Inputs!$B$12,'S2_D1_Wholesaler'!D11,'S2_D2_Wholesaler'!D11,'S2_D3_Wholesaler'!D11)</f>
        <v/>
      </c>
      <c r="N14" s="2">
        <f>CHOOSE(Inputs!$B$12,'S2_D1_Wholesaler'!H11,'S2_D2_Wholesaler'!H11,'S2_D3_Wholesaler'!H11)</f>
        <v/>
      </c>
      <c r="O14" s="2">
        <f>CHOOSE(Inputs!$B$12,'S2_D1_Wholesaler'!I11,'S2_D2_Wholesaler'!I11,'S2_D3_Wholesaler'!I11)</f>
        <v/>
      </c>
      <c r="P14" s="2">
        <f>CHOOSE(Inputs!$B$12,'S2_D1_Wholesaler'!J11,'S2_D2_Wholesaler'!J11,'S2_D3_Wholesaler'!J11)</f>
        <v/>
      </c>
      <c r="Q14" s="2">
        <f>CHOOSE(Inputs!$B$12,'S2_D1_Wholesaler'!P11,'S2_D2_Wholesaler'!P11,'S2_D3_Wholesaler'!P11)</f>
        <v/>
      </c>
      <c r="R14" s="2">
        <f>CHOOSE(Inputs!$B$12,'S2_D1_Wholesaler'!K11,'S2_D2_Wholesaler'!K11,'S2_D3_Wholesaler'!K11)</f>
        <v/>
      </c>
      <c r="S14" s="2">
        <f>CHOOSE(Inputs!$B$12,'S2_D1_Wholesaler'!L11,'S2_D2_Wholesaler'!L11,'S2_D3_Wholesaler'!L11)</f>
        <v/>
      </c>
      <c r="T14" s="2">
        <f>CHOOSE(Inputs!$B$12,'S2_D1_Wholesaler'!M11,'S2_D2_Wholesaler'!M11,'S2_D3_Wholesaler'!M11)</f>
        <v/>
      </c>
      <c r="U14" s="2">
        <f>CHOOSE(Inputs!$B$12,'S2_D1_Wholesaler'!N11,'S2_D2_Wholesaler'!N11,'S2_D3_Wholesaler'!N11)</f>
        <v/>
      </c>
      <c r="V14" s="2">
        <f>CHOOSE(Inputs!$B$12,'S2_D1_Distributor'!C11,'S2_D2_Distributor'!C11,'S2_D3_Distributor'!C11)</f>
        <v/>
      </c>
      <c r="W14" s="2">
        <f>CHOOSE(Inputs!$B$12,'S2_D1_Distributor'!D11,'S2_D2_Distributor'!D11,'S2_D3_Distributor'!D11)</f>
        <v/>
      </c>
      <c r="X14" s="2">
        <f>CHOOSE(Inputs!$B$12,'S2_D1_Distributor'!H11,'S2_D2_Distributor'!H11,'S2_D3_Distributor'!H11)</f>
        <v/>
      </c>
      <c r="Y14" s="2">
        <f>CHOOSE(Inputs!$B$12,'S2_D1_Distributor'!I11,'S2_D2_Distributor'!I11,'S2_D3_Distributor'!I11)</f>
        <v/>
      </c>
      <c r="Z14" s="2">
        <f>CHOOSE(Inputs!$B$12,'S2_D1_Distributor'!J11,'S2_D2_Distributor'!J11,'S2_D3_Distributor'!J11)</f>
        <v/>
      </c>
      <c r="AA14" s="2">
        <f>CHOOSE(Inputs!$B$12,'S2_D1_Distributor'!P11,'S2_D2_Distributor'!P11,'S2_D3_Distributor'!P11)</f>
        <v/>
      </c>
      <c r="AB14" s="2">
        <f>CHOOSE(Inputs!$B$12,'S2_D1_Distributor'!K11,'S2_D2_Distributor'!K11,'S2_D3_Distributor'!K11)</f>
        <v/>
      </c>
      <c r="AC14" s="2">
        <f>CHOOSE(Inputs!$B$12,'S2_D1_Distributor'!L11,'S2_D2_Distributor'!L11,'S2_D3_Distributor'!L11)</f>
        <v/>
      </c>
      <c r="AD14" s="2">
        <f>CHOOSE(Inputs!$B$12,'S2_D1_Distributor'!M11,'S2_D2_Distributor'!M11,'S2_D3_Distributor'!M11)</f>
        <v/>
      </c>
      <c r="AE14" s="2">
        <f>CHOOSE(Inputs!$B$12,'S2_D1_Distributor'!N11,'S2_D2_Distributor'!N11,'S2_D3_Distributor'!N11)</f>
        <v/>
      </c>
      <c r="AF14" s="2">
        <f>CHOOSE(Inputs!$B$12,'S2_D1_Factory'!C11,'S2_D2_Factory'!C11,'S2_D3_Factory'!C11)</f>
        <v/>
      </c>
      <c r="AG14" s="2">
        <f>CHOOSE(Inputs!$B$12,'S2_D1_Factory'!D11,'S2_D2_Factory'!D11,'S2_D3_Factory'!D11)</f>
        <v/>
      </c>
      <c r="AH14" s="2">
        <f>CHOOSE(Inputs!$B$12,'S2_D1_Factory'!H11,'S2_D2_Factory'!H11,'S2_D3_Factory'!H11)</f>
        <v/>
      </c>
      <c r="AI14" s="2">
        <f>CHOOSE(Inputs!$B$12,'S2_D1_Factory'!I11,'S2_D2_Factory'!I11,'S2_D3_Factory'!I11)</f>
        <v/>
      </c>
      <c r="AJ14" s="2">
        <f>CHOOSE(Inputs!$B$12,'S2_D1_Factory'!J11,'S2_D2_Factory'!J11,'S2_D3_Factory'!J11)</f>
        <v/>
      </c>
      <c r="AK14" s="2">
        <f>CHOOSE(Inputs!$B$12,'S2_D1_Factory'!P11,'S2_D2_Factory'!P11,'S2_D3_Factory'!P11)</f>
        <v/>
      </c>
      <c r="AL14" s="2">
        <f>CHOOSE(Inputs!$B$12,'S2_D1_Factory'!K11,'S2_D2_Factory'!K11,'S2_D3_Factory'!K11)</f>
        <v/>
      </c>
      <c r="AM14" s="2">
        <f>CHOOSE(Inputs!$B$12,'S2_D1_Factory'!L11,'S2_D2_Factory'!L11,'S2_D3_Factory'!L11)</f>
        <v/>
      </c>
      <c r="AN14" s="2">
        <f>CHOOSE(Inputs!$B$12,'S2_D1_Factory'!M11,'S2_D2_Factory'!M11,'S2_D3_Factory'!M11)</f>
        <v/>
      </c>
      <c r="AO14" s="2">
        <f>CHOOSE(Inputs!$B$12,'S2_D1_Factory'!N11,'S2_D2_Factory'!N11,'S2_D3_Factory'!N11)</f>
        <v/>
      </c>
      <c r="AP14" s="2">
        <f>SUM(H14,R14,AB14,AL14)</f>
        <v/>
      </c>
      <c r="AQ14" s="2">
        <f>SUM(I14,S14,AC14,AM14)</f>
        <v/>
      </c>
      <c r="AR14" s="2">
        <f>SUM(J14,T14,AD14,AN14)</f>
        <v/>
      </c>
      <c r="AS14" s="2">
        <f>AS13+AR14</f>
        <v/>
      </c>
    </row>
    <row r="15">
      <c r="A15" s="2" t="n">
        <v>11</v>
      </c>
      <c r="B15" s="2">
        <f>CHOOSE(Inputs!$B$12,'S2_D1_Retailer'!C12,'S2_D2_Retailer'!C12,'S2_D3_Retailer'!C12)</f>
        <v/>
      </c>
      <c r="C15" s="2">
        <f>CHOOSE(Inputs!$B$12,'S2_D1_Retailer'!D12,'S2_D2_Retailer'!D12,'S2_D3_Retailer'!D12)</f>
        <v/>
      </c>
      <c r="D15" s="2">
        <f>CHOOSE(Inputs!$B$12,'S2_D1_Retailer'!H12,'S2_D2_Retailer'!H12,'S2_D3_Retailer'!H12)</f>
        <v/>
      </c>
      <c r="E15" s="2">
        <f>CHOOSE(Inputs!$B$12,'S2_D1_Retailer'!I12,'S2_D2_Retailer'!I12,'S2_D3_Retailer'!I12)</f>
        <v/>
      </c>
      <c r="F15" s="2">
        <f>CHOOSE(Inputs!$B$12,'S2_D1_Retailer'!J12,'S2_D2_Retailer'!J12,'S2_D3_Retailer'!J12)</f>
        <v/>
      </c>
      <c r="G15" s="2">
        <f>CHOOSE(Inputs!$B$12,'S2_D1_Retailer'!P12,'S2_D2_Retailer'!P12,'S2_D3_Retailer'!P12)</f>
        <v/>
      </c>
      <c r="H15" s="2">
        <f>CHOOSE(Inputs!$B$12,'S2_D1_Retailer'!K12,'S2_D2_Retailer'!K12,'S2_D3_Retailer'!K12)</f>
        <v/>
      </c>
      <c r="I15" s="2">
        <f>CHOOSE(Inputs!$B$12,'S2_D1_Retailer'!L12,'S2_D2_Retailer'!L12,'S2_D3_Retailer'!L12)</f>
        <v/>
      </c>
      <c r="J15" s="2">
        <f>CHOOSE(Inputs!$B$12,'S2_D1_Retailer'!M12,'S2_D2_Retailer'!M12,'S2_D3_Retailer'!M12)</f>
        <v/>
      </c>
      <c r="K15" s="2">
        <f>CHOOSE(Inputs!$B$12,'S2_D1_Retailer'!N12,'S2_D2_Retailer'!N12,'S2_D3_Retailer'!N12)</f>
        <v/>
      </c>
      <c r="L15" s="2">
        <f>CHOOSE(Inputs!$B$12,'S2_D1_Wholesaler'!C12,'S2_D2_Wholesaler'!C12,'S2_D3_Wholesaler'!C12)</f>
        <v/>
      </c>
      <c r="M15" s="2">
        <f>CHOOSE(Inputs!$B$12,'S2_D1_Wholesaler'!D12,'S2_D2_Wholesaler'!D12,'S2_D3_Wholesaler'!D12)</f>
        <v/>
      </c>
      <c r="N15" s="2">
        <f>CHOOSE(Inputs!$B$12,'S2_D1_Wholesaler'!H12,'S2_D2_Wholesaler'!H12,'S2_D3_Wholesaler'!H12)</f>
        <v/>
      </c>
      <c r="O15" s="2">
        <f>CHOOSE(Inputs!$B$12,'S2_D1_Wholesaler'!I12,'S2_D2_Wholesaler'!I12,'S2_D3_Wholesaler'!I12)</f>
        <v/>
      </c>
      <c r="P15" s="2">
        <f>CHOOSE(Inputs!$B$12,'S2_D1_Wholesaler'!J12,'S2_D2_Wholesaler'!J12,'S2_D3_Wholesaler'!J12)</f>
        <v/>
      </c>
      <c r="Q15" s="2">
        <f>CHOOSE(Inputs!$B$12,'S2_D1_Wholesaler'!P12,'S2_D2_Wholesaler'!P12,'S2_D3_Wholesaler'!P12)</f>
        <v/>
      </c>
      <c r="R15" s="2">
        <f>CHOOSE(Inputs!$B$12,'S2_D1_Wholesaler'!K12,'S2_D2_Wholesaler'!K12,'S2_D3_Wholesaler'!K12)</f>
        <v/>
      </c>
      <c r="S15" s="2">
        <f>CHOOSE(Inputs!$B$12,'S2_D1_Wholesaler'!L12,'S2_D2_Wholesaler'!L12,'S2_D3_Wholesaler'!L12)</f>
        <v/>
      </c>
      <c r="T15" s="2">
        <f>CHOOSE(Inputs!$B$12,'S2_D1_Wholesaler'!M12,'S2_D2_Wholesaler'!M12,'S2_D3_Wholesaler'!M12)</f>
        <v/>
      </c>
      <c r="U15" s="2">
        <f>CHOOSE(Inputs!$B$12,'S2_D1_Wholesaler'!N12,'S2_D2_Wholesaler'!N12,'S2_D3_Wholesaler'!N12)</f>
        <v/>
      </c>
      <c r="V15" s="2">
        <f>CHOOSE(Inputs!$B$12,'S2_D1_Distributor'!C12,'S2_D2_Distributor'!C12,'S2_D3_Distributor'!C12)</f>
        <v/>
      </c>
      <c r="W15" s="2">
        <f>CHOOSE(Inputs!$B$12,'S2_D1_Distributor'!D12,'S2_D2_Distributor'!D12,'S2_D3_Distributor'!D12)</f>
        <v/>
      </c>
      <c r="X15" s="2">
        <f>CHOOSE(Inputs!$B$12,'S2_D1_Distributor'!H12,'S2_D2_Distributor'!H12,'S2_D3_Distributor'!H12)</f>
        <v/>
      </c>
      <c r="Y15" s="2">
        <f>CHOOSE(Inputs!$B$12,'S2_D1_Distributor'!I12,'S2_D2_Distributor'!I12,'S2_D3_Distributor'!I12)</f>
        <v/>
      </c>
      <c r="Z15" s="2">
        <f>CHOOSE(Inputs!$B$12,'S2_D1_Distributor'!J12,'S2_D2_Distributor'!J12,'S2_D3_Distributor'!J12)</f>
        <v/>
      </c>
      <c r="AA15" s="2">
        <f>CHOOSE(Inputs!$B$12,'S2_D1_Distributor'!P12,'S2_D2_Distributor'!P12,'S2_D3_Distributor'!P12)</f>
        <v/>
      </c>
      <c r="AB15" s="2">
        <f>CHOOSE(Inputs!$B$12,'S2_D1_Distributor'!K12,'S2_D2_Distributor'!K12,'S2_D3_Distributor'!K12)</f>
        <v/>
      </c>
      <c r="AC15" s="2">
        <f>CHOOSE(Inputs!$B$12,'S2_D1_Distributor'!L12,'S2_D2_Distributor'!L12,'S2_D3_Distributor'!L12)</f>
        <v/>
      </c>
      <c r="AD15" s="2">
        <f>CHOOSE(Inputs!$B$12,'S2_D1_Distributor'!M12,'S2_D2_Distributor'!M12,'S2_D3_Distributor'!M12)</f>
        <v/>
      </c>
      <c r="AE15" s="2">
        <f>CHOOSE(Inputs!$B$12,'S2_D1_Distributor'!N12,'S2_D2_Distributor'!N12,'S2_D3_Distributor'!N12)</f>
        <v/>
      </c>
      <c r="AF15" s="2">
        <f>CHOOSE(Inputs!$B$12,'S2_D1_Factory'!C12,'S2_D2_Factory'!C12,'S2_D3_Factory'!C12)</f>
        <v/>
      </c>
      <c r="AG15" s="2">
        <f>CHOOSE(Inputs!$B$12,'S2_D1_Factory'!D12,'S2_D2_Factory'!D12,'S2_D3_Factory'!D12)</f>
        <v/>
      </c>
      <c r="AH15" s="2">
        <f>CHOOSE(Inputs!$B$12,'S2_D1_Factory'!H12,'S2_D2_Factory'!H12,'S2_D3_Factory'!H12)</f>
        <v/>
      </c>
      <c r="AI15" s="2">
        <f>CHOOSE(Inputs!$B$12,'S2_D1_Factory'!I12,'S2_D2_Factory'!I12,'S2_D3_Factory'!I12)</f>
        <v/>
      </c>
      <c r="AJ15" s="2">
        <f>CHOOSE(Inputs!$B$12,'S2_D1_Factory'!J12,'S2_D2_Factory'!J12,'S2_D3_Factory'!J12)</f>
        <v/>
      </c>
      <c r="AK15" s="2">
        <f>CHOOSE(Inputs!$B$12,'S2_D1_Factory'!P12,'S2_D2_Factory'!P12,'S2_D3_Factory'!P12)</f>
        <v/>
      </c>
      <c r="AL15" s="2">
        <f>CHOOSE(Inputs!$B$12,'S2_D1_Factory'!K12,'S2_D2_Factory'!K12,'S2_D3_Factory'!K12)</f>
        <v/>
      </c>
      <c r="AM15" s="2">
        <f>CHOOSE(Inputs!$B$12,'S2_D1_Factory'!L12,'S2_D2_Factory'!L12,'S2_D3_Factory'!L12)</f>
        <v/>
      </c>
      <c r="AN15" s="2">
        <f>CHOOSE(Inputs!$B$12,'S2_D1_Factory'!M12,'S2_D2_Factory'!M12,'S2_D3_Factory'!M12)</f>
        <v/>
      </c>
      <c r="AO15" s="2">
        <f>CHOOSE(Inputs!$B$12,'S2_D1_Factory'!N12,'S2_D2_Factory'!N12,'S2_D3_Factory'!N12)</f>
        <v/>
      </c>
      <c r="AP15" s="2">
        <f>SUM(H15,R15,AB15,AL15)</f>
        <v/>
      </c>
      <c r="AQ15" s="2">
        <f>SUM(I15,S15,AC15,AM15)</f>
        <v/>
      </c>
      <c r="AR15" s="2">
        <f>SUM(J15,T15,AD15,AN15)</f>
        <v/>
      </c>
      <c r="AS15" s="2">
        <f>AS14+AR15</f>
        <v/>
      </c>
    </row>
    <row r="16">
      <c r="A16" s="2" t="n">
        <v>12</v>
      </c>
      <c r="B16" s="2">
        <f>CHOOSE(Inputs!$B$12,'S2_D1_Retailer'!C13,'S2_D2_Retailer'!C13,'S2_D3_Retailer'!C13)</f>
        <v/>
      </c>
      <c r="C16" s="2">
        <f>CHOOSE(Inputs!$B$12,'S2_D1_Retailer'!D13,'S2_D2_Retailer'!D13,'S2_D3_Retailer'!D13)</f>
        <v/>
      </c>
      <c r="D16" s="2">
        <f>CHOOSE(Inputs!$B$12,'S2_D1_Retailer'!H13,'S2_D2_Retailer'!H13,'S2_D3_Retailer'!H13)</f>
        <v/>
      </c>
      <c r="E16" s="2">
        <f>CHOOSE(Inputs!$B$12,'S2_D1_Retailer'!I13,'S2_D2_Retailer'!I13,'S2_D3_Retailer'!I13)</f>
        <v/>
      </c>
      <c r="F16" s="2">
        <f>CHOOSE(Inputs!$B$12,'S2_D1_Retailer'!J13,'S2_D2_Retailer'!J13,'S2_D3_Retailer'!J13)</f>
        <v/>
      </c>
      <c r="G16" s="2">
        <f>CHOOSE(Inputs!$B$12,'S2_D1_Retailer'!P13,'S2_D2_Retailer'!P13,'S2_D3_Retailer'!P13)</f>
        <v/>
      </c>
      <c r="H16" s="2">
        <f>CHOOSE(Inputs!$B$12,'S2_D1_Retailer'!K13,'S2_D2_Retailer'!K13,'S2_D3_Retailer'!K13)</f>
        <v/>
      </c>
      <c r="I16" s="2">
        <f>CHOOSE(Inputs!$B$12,'S2_D1_Retailer'!L13,'S2_D2_Retailer'!L13,'S2_D3_Retailer'!L13)</f>
        <v/>
      </c>
      <c r="J16" s="2">
        <f>CHOOSE(Inputs!$B$12,'S2_D1_Retailer'!M13,'S2_D2_Retailer'!M13,'S2_D3_Retailer'!M13)</f>
        <v/>
      </c>
      <c r="K16" s="2">
        <f>CHOOSE(Inputs!$B$12,'S2_D1_Retailer'!N13,'S2_D2_Retailer'!N13,'S2_D3_Retailer'!N13)</f>
        <v/>
      </c>
      <c r="L16" s="2">
        <f>CHOOSE(Inputs!$B$12,'S2_D1_Wholesaler'!C13,'S2_D2_Wholesaler'!C13,'S2_D3_Wholesaler'!C13)</f>
        <v/>
      </c>
      <c r="M16" s="2">
        <f>CHOOSE(Inputs!$B$12,'S2_D1_Wholesaler'!D13,'S2_D2_Wholesaler'!D13,'S2_D3_Wholesaler'!D13)</f>
        <v/>
      </c>
      <c r="N16" s="2">
        <f>CHOOSE(Inputs!$B$12,'S2_D1_Wholesaler'!H13,'S2_D2_Wholesaler'!H13,'S2_D3_Wholesaler'!H13)</f>
        <v/>
      </c>
      <c r="O16" s="2">
        <f>CHOOSE(Inputs!$B$12,'S2_D1_Wholesaler'!I13,'S2_D2_Wholesaler'!I13,'S2_D3_Wholesaler'!I13)</f>
        <v/>
      </c>
      <c r="P16" s="2">
        <f>CHOOSE(Inputs!$B$12,'S2_D1_Wholesaler'!J13,'S2_D2_Wholesaler'!J13,'S2_D3_Wholesaler'!J13)</f>
        <v/>
      </c>
      <c r="Q16" s="2">
        <f>CHOOSE(Inputs!$B$12,'S2_D1_Wholesaler'!P13,'S2_D2_Wholesaler'!P13,'S2_D3_Wholesaler'!P13)</f>
        <v/>
      </c>
      <c r="R16" s="2">
        <f>CHOOSE(Inputs!$B$12,'S2_D1_Wholesaler'!K13,'S2_D2_Wholesaler'!K13,'S2_D3_Wholesaler'!K13)</f>
        <v/>
      </c>
      <c r="S16" s="2">
        <f>CHOOSE(Inputs!$B$12,'S2_D1_Wholesaler'!L13,'S2_D2_Wholesaler'!L13,'S2_D3_Wholesaler'!L13)</f>
        <v/>
      </c>
      <c r="T16" s="2">
        <f>CHOOSE(Inputs!$B$12,'S2_D1_Wholesaler'!M13,'S2_D2_Wholesaler'!M13,'S2_D3_Wholesaler'!M13)</f>
        <v/>
      </c>
      <c r="U16" s="2">
        <f>CHOOSE(Inputs!$B$12,'S2_D1_Wholesaler'!N13,'S2_D2_Wholesaler'!N13,'S2_D3_Wholesaler'!N13)</f>
        <v/>
      </c>
      <c r="V16" s="2">
        <f>CHOOSE(Inputs!$B$12,'S2_D1_Distributor'!C13,'S2_D2_Distributor'!C13,'S2_D3_Distributor'!C13)</f>
        <v/>
      </c>
      <c r="W16" s="2">
        <f>CHOOSE(Inputs!$B$12,'S2_D1_Distributor'!D13,'S2_D2_Distributor'!D13,'S2_D3_Distributor'!D13)</f>
        <v/>
      </c>
      <c r="X16" s="2">
        <f>CHOOSE(Inputs!$B$12,'S2_D1_Distributor'!H13,'S2_D2_Distributor'!H13,'S2_D3_Distributor'!H13)</f>
        <v/>
      </c>
      <c r="Y16" s="2">
        <f>CHOOSE(Inputs!$B$12,'S2_D1_Distributor'!I13,'S2_D2_Distributor'!I13,'S2_D3_Distributor'!I13)</f>
        <v/>
      </c>
      <c r="Z16" s="2">
        <f>CHOOSE(Inputs!$B$12,'S2_D1_Distributor'!J13,'S2_D2_Distributor'!J13,'S2_D3_Distributor'!J13)</f>
        <v/>
      </c>
      <c r="AA16" s="2">
        <f>CHOOSE(Inputs!$B$12,'S2_D1_Distributor'!P13,'S2_D2_Distributor'!P13,'S2_D3_Distributor'!P13)</f>
        <v/>
      </c>
      <c r="AB16" s="2">
        <f>CHOOSE(Inputs!$B$12,'S2_D1_Distributor'!K13,'S2_D2_Distributor'!K13,'S2_D3_Distributor'!K13)</f>
        <v/>
      </c>
      <c r="AC16" s="2">
        <f>CHOOSE(Inputs!$B$12,'S2_D1_Distributor'!L13,'S2_D2_Distributor'!L13,'S2_D3_Distributor'!L13)</f>
        <v/>
      </c>
      <c r="AD16" s="2">
        <f>CHOOSE(Inputs!$B$12,'S2_D1_Distributor'!M13,'S2_D2_Distributor'!M13,'S2_D3_Distributor'!M13)</f>
        <v/>
      </c>
      <c r="AE16" s="2">
        <f>CHOOSE(Inputs!$B$12,'S2_D1_Distributor'!N13,'S2_D2_Distributor'!N13,'S2_D3_Distributor'!N13)</f>
        <v/>
      </c>
      <c r="AF16" s="2">
        <f>CHOOSE(Inputs!$B$12,'S2_D1_Factory'!C13,'S2_D2_Factory'!C13,'S2_D3_Factory'!C13)</f>
        <v/>
      </c>
      <c r="AG16" s="2">
        <f>CHOOSE(Inputs!$B$12,'S2_D1_Factory'!D13,'S2_D2_Factory'!D13,'S2_D3_Factory'!D13)</f>
        <v/>
      </c>
      <c r="AH16" s="2">
        <f>CHOOSE(Inputs!$B$12,'S2_D1_Factory'!H13,'S2_D2_Factory'!H13,'S2_D3_Factory'!H13)</f>
        <v/>
      </c>
      <c r="AI16" s="2">
        <f>CHOOSE(Inputs!$B$12,'S2_D1_Factory'!I13,'S2_D2_Factory'!I13,'S2_D3_Factory'!I13)</f>
        <v/>
      </c>
      <c r="AJ16" s="2">
        <f>CHOOSE(Inputs!$B$12,'S2_D1_Factory'!J13,'S2_D2_Factory'!J13,'S2_D3_Factory'!J13)</f>
        <v/>
      </c>
      <c r="AK16" s="2">
        <f>CHOOSE(Inputs!$B$12,'S2_D1_Factory'!P13,'S2_D2_Factory'!P13,'S2_D3_Factory'!P13)</f>
        <v/>
      </c>
      <c r="AL16" s="2">
        <f>CHOOSE(Inputs!$B$12,'S2_D1_Factory'!K13,'S2_D2_Factory'!K13,'S2_D3_Factory'!K13)</f>
        <v/>
      </c>
      <c r="AM16" s="2">
        <f>CHOOSE(Inputs!$B$12,'S2_D1_Factory'!L13,'S2_D2_Factory'!L13,'S2_D3_Factory'!L13)</f>
        <v/>
      </c>
      <c r="AN16" s="2">
        <f>CHOOSE(Inputs!$B$12,'S2_D1_Factory'!M13,'S2_D2_Factory'!M13,'S2_D3_Factory'!M13)</f>
        <v/>
      </c>
      <c r="AO16" s="2">
        <f>CHOOSE(Inputs!$B$12,'S2_D1_Factory'!N13,'S2_D2_Factory'!N13,'S2_D3_Factory'!N13)</f>
        <v/>
      </c>
      <c r="AP16" s="2">
        <f>SUM(H16,R16,AB16,AL16)</f>
        <v/>
      </c>
      <c r="AQ16" s="2">
        <f>SUM(I16,S16,AC16,AM16)</f>
        <v/>
      </c>
      <c r="AR16" s="2">
        <f>SUM(J16,T16,AD16,AN16)</f>
        <v/>
      </c>
      <c r="AS16" s="2">
        <f>AS15+AR16</f>
        <v/>
      </c>
    </row>
    <row r="17">
      <c r="A17" s="2" t="n">
        <v>13</v>
      </c>
      <c r="B17" s="2">
        <f>CHOOSE(Inputs!$B$12,'S2_D1_Retailer'!C14,'S2_D2_Retailer'!C14,'S2_D3_Retailer'!C14)</f>
        <v/>
      </c>
      <c r="C17" s="2">
        <f>CHOOSE(Inputs!$B$12,'S2_D1_Retailer'!D14,'S2_D2_Retailer'!D14,'S2_D3_Retailer'!D14)</f>
        <v/>
      </c>
      <c r="D17" s="2">
        <f>CHOOSE(Inputs!$B$12,'S2_D1_Retailer'!H14,'S2_D2_Retailer'!H14,'S2_D3_Retailer'!H14)</f>
        <v/>
      </c>
      <c r="E17" s="2">
        <f>CHOOSE(Inputs!$B$12,'S2_D1_Retailer'!I14,'S2_D2_Retailer'!I14,'S2_D3_Retailer'!I14)</f>
        <v/>
      </c>
      <c r="F17" s="2">
        <f>CHOOSE(Inputs!$B$12,'S2_D1_Retailer'!J14,'S2_D2_Retailer'!J14,'S2_D3_Retailer'!J14)</f>
        <v/>
      </c>
      <c r="G17" s="2">
        <f>CHOOSE(Inputs!$B$12,'S2_D1_Retailer'!P14,'S2_D2_Retailer'!P14,'S2_D3_Retailer'!P14)</f>
        <v/>
      </c>
      <c r="H17" s="2">
        <f>CHOOSE(Inputs!$B$12,'S2_D1_Retailer'!K14,'S2_D2_Retailer'!K14,'S2_D3_Retailer'!K14)</f>
        <v/>
      </c>
      <c r="I17" s="2">
        <f>CHOOSE(Inputs!$B$12,'S2_D1_Retailer'!L14,'S2_D2_Retailer'!L14,'S2_D3_Retailer'!L14)</f>
        <v/>
      </c>
      <c r="J17" s="2">
        <f>CHOOSE(Inputs!$B$12,'S2_D1_Retailer'!M14,'S2_D2_Retailer'!M14,'S2_D3_Retailer'!M14)</f>
        <v/>
      </c>
      <c r="K17" s="2">
        <f>CHOOSE(Inputs!$B$12,'S2_D1_Retailer'!N14,'S2_D2_Retailer'!N14,'S2_D3_Retailer'!N14)</f>
        <v/>
      </c>
      <c r="L17" s="2">
        <f>CHOOSE(Inputs!$B$12,'S2_D1_Wholesaler'!C14,'S2_D2_Wholesaler'!C14,'S2_D3_Wholesaler'!C14)</f>
        <v/>
      </c>
      <c r="M17" s="2">
        <f>CHOOSE(Inputs!$B$12,'S2_D1_Wholesaler'!D14,'S2_D2_Wholesaler'!D14,'S2_D3_Wholesaler'!D14)</f>
        <v/>
      </c>
      <c r="N17" s="2">
        <f>CHOOSE(Inputs!$B$12,'S2_D1_Wholesaler'!H14,'S2_D2_Wholesaler'!H14,'S2_D3_Wholesaler'!H14)</f>
        <v/>
      </c>
      <c r="O17" s="2">
        <f>CHOOSE(Inputs!$B$12,'S2_D1_Wholesaler'!I14,'S2_D2_Wholesaler'!I14,'S2_D3_Wholesaler'!I14)</f>
        <v/>
      </c>
      <c r="P17" s="2">
        <f>CHOOSE(Inputs!$B$12,'S2_D1_Wholesaler'!J14,'S2_D2_Wholesaler'!J14,'S2_D3_Wholesaler'!J14)</f>
        <v/>
      </c>
      <c r="Q17" s="2">
        <f>CHOOSE(Inputs!$B$12,'S2_D1_Wholesaler'!P14,'S2_D2_Wholesaler'!P14,'S2_D3_Wholesaler'!P14)</f>
        <v/>
      </c>
      <c r="R17" s="2">
        <f>CHOOSE(Inputs!$B$12,'S2_D1_Wholesaler'!K14,'S2_D2_Wholesaler'!K14,'S2_D3_Wholesaler'!K14)</f>
        <v/>
      </c>
      <c r="S17" s="2">
        <f>CHOOSE(Inputs!$B$12,'S2_D1_Wholesaler'!L14,'S2_D2_Wholesaler'!L14,'S2_D3_Wholesaler'!L14)</f>
        <v/>
      </c>
      <c r="T17" s="2">
        <f>CHOOSE(Inputs!$B$12,'S2_D1_Wholesaler'!M14,'S2_D2_Wholesaler'!M14,'S2_D3_Wholesaler'!M14)</f>
        <v/>
      </c>
      <c r="U17" s="2">
        <f>CHOOSE(Inputs!$B$12,'S2_D1_Wholesaler'!N14,'S2_D2_Wholesaler'!N14,'S2_D3_Wholesaler'!N14)</f>
        <v/>
      </c>
      <c r="V17" s="2">
        <f>CHOOSE(Inputs!$B$12,'S2_D1_Distributor'!C14,'S2_D2_Distributor'!C14,'S2_D3_Distributor'!C14)</f>
        <v/>
      </c>
      <c r="W17" s="2">
        <f>CHOOSE(Inputs!$B$12,'S2_D1_Distributor'!D14,'S2_D2_Distributor'!D14,'S2_D3_Distributor'!D14)</f>
        <v/>
      </c>
      <c r="X17" s="2">
        <f>CHOOSE(Inputs!$B$12,'S2_D1_Distributor'!H14,'S2_D2_Distributor'!H14,'S2_D3_Distributor'!H14)</f>
        <v/>
      </c>
      <c r="Y17" s="2">
        <f>CHOOSE(Inputs!$B$12,'S2_D1_Distributor'!I14,'S2_D2_Distributor'!I14,'S2_D3_Distributor'!I14)</f>
        <v/>
      </c>
      <c r="Z17" s="2">
        <f>CHOOSE(Inputs!$B$12,'S2_D1_Distributor'!J14,'S2_D2_Distributor'!J14,'S2_D3_Distributor'!J14)</f>
        <v/>
      </c>
      <c r="AA17" s="2">
        <f>CHOOSE(Inputs!$B$12,'S2_D1_Distributor'!P14,'S2_D2_Distributor'!P14,'S2_D3_Distributor'!P14)</f>
        <v/>
      </c>
      <c r="AB17" s="2">
        <f>CHOOSE(Inputs!$B$12,'S2_D1_Distributor'!K14,'S2_D2_Distributor'!K14,'S2_D3_Distributor'!K14)</f>
        <v/>
      </c>
      <c r="AC17" s="2">
        <f>CHOOSE(Inputs!$B$12,'S2_D1_Distributor'!L14,'S2_D2_Distributor'!L14,'S2_D3_Distributor'!L14)</f>
        <v/>
      </c>
      <c r="AD17" s="2">
        <f>CHOOSE(Inputs!$B$12,'S2_D1_Distributor'!M14,'S2_D2_Distributor'!M14,'S2_D3_Distributor'!M14)</f>
        <v/>
      </c>
      <c r="AE17" s="2">
        <f>CHOOSE(Inputs!$B$12,'S2_D1_Distributor'!N14,'S2_D2_Distributor'!N14,'S2_D3_Distributor'!N14)</f>
        <v/>
      </c>
      <c r="AF17" s="2">
        <f>CHOOSE(Inputs!$B$12,'S2_D1_Factory'!C14,'S2_D2_Factory'!C14,'S2_D3_Factory'!C14)</f>
        <v/>
      </c>
      <c r="AG17" s="2">
        <f>CHOOSE(Inputs!$B$12,'S2_D1_Factory'!D14,'S2_D2_Factory'!D14,'S2_D3_Factory'!D14)</f>
        <v/>
      </c>
      <c r="AH17" s="2">
        <f>CHOOSE(Inputs!$B$12,'S2_D1_Factory'!H14,'S2_D2_Factory'!H14,'S2_D3_Factory'!H14)</f>
        <v/>
      </c>
      <c r="AI17" s="2">
        <f>CHOOSE(Inputs!$B$12,'S2_D1_Factory'!I14,'S2_D2_Factory'!I14,'S2_D3_Factory'!I14)</f>
        <v/>
      </c>
      <c r="AJ17" s="2">
        <f>CHOOSE(Inputs!$B$12,'S2_D1_Factory'!J14,'S2_D2_Factory'!J14,'S2_D3_Factory'!J14)</f>
        <v/>
      </c>
      <c r="AK17" s="2">
        <f>CHOOSE(Inputs!$B$12,'S2_D1_Factory'!P14,'S2_D2_Factory'!P14,'S2_D3_Factory'!P14)</f>
        <v/>
      </c>
      <c r="AL17" s="2">
        <f>CHOOSE(Inputs!$B$12,'S2_D1_Factory'!K14,'S2_D2_Factory'!K14,'S2_D3_Factory'!K14)</f>
        <v/>
      </c>
      <c r="AM17" s="2">
        <f>CHOOSE(Inputs!$B$12,'S2_D1_Factory'!L14,'S2_D2_Factory'!L14,'S2_D3_Factory'!L14)</f>
        <v/>
      </c>
      <c r="AN17" s="2">
        <f>CHOOSE(Inputs!$B$12,'S2_D1_Factory'!M14,'S2_D2_Factory'!M14,'S2_D3_Factory'!M14)</f>
        <v/>
      </c>
      <c r="AO17" s="2">
        <f>CHOOSE(Inputs!$B$12,'S2_D1_Factory'!N14,'S2_D2_Factory'!N14,'S2_D3_Factory'!N14)</f>
        <v/>
      </c>
      <c r="AP17" s="2">
        <f>SUM(H17,R17,AB17,AL17)</f>
        <v/>
      </c>
      <c r="AQ17" s="2">
        <f>SUM(I17,S17,AC17,AM17)</f>
        <v/>
      </c>
      <c r="AR17" s="2">
        <f>SUM(J17,T17,AD17,AN17)</f>
        <v/>
      </c>
      <c r="AS17" s="2">
        <f>AS16+AR17</f>
        <v/>
      </c>
    </row>
    <row r="18">
      <c r="A18" s="2" t="n">
        <v>14</v>
      </c>
      <c r="B18" s="2">
        <f>CHOOSE(Inputs!$B$12,'S2_D1_Retailer'!C15,'S2_D2_Retailer'!C15,'S2_D3_Retailer'!C15)</f>
        <v/>
      </c>
      <c r="C18" s="2">
        <f>CHOOSE(Inputs!$B$12,'S2_D1_Retailer'!D15,'S2_D2_Retailer'!D15,'S2_D3_Retailer'!D15)</f>
        <v/>
      </c>
      <c r="D18" s="2">
        <f>CHOOSE(Inputs!$B$12,'S2_D1_Retailer'!H15,'S2_D2_Retailer'!H15,'S2_D3_Retailer'!H15)</f>
        <v/>
      </c>
      <c r="E18" s="2">
        <f>CHOOSE(Inputs!$B$12,'S2_D1_Retailer'!I15,'S2_D2_Retailer'!I15,'S2_D3_Retailer'!I15)</f>
        <v/>
      </c>
      <c r="F18" s="2">
        <f>CHOOSE(Inputs!$B$12,'S2_D1_Retailer'!J15,'S2_D2_Retailer'!J15,'S2_D3_Retailer'!J15)</f>
        <v/>
      </c>
      <c r="G18" s="2">
        <f>CHOOSE(Inputs!$B$12,'S2_D1_Retailer'!P15,'S2_D2_Retailer'!P15,'S2_D3_Retailer'!P15)</f>
        <v/>
      </c>
      <c r="H18" s="2">
        <f>CHOOSE(Inputs!$B$12,'S2_D1_Retailer'!K15,'S2_D2_Retailer'!K15,'S2_D3_Retailer'!K15)</f>
        <v/>
      </c>
      <c r="I18" s="2">
        <f>CHOOSE(Inputs!$B$12,'S2_D1_Retailer'!L15,'S2_D2_Retailer'!L15,'S2_D3_Retailer'!L15)</f>
        <v/>
      </c>
      <c r="J18" s="2">
        <f>CHOOSE(Inputs!$B$12,'S2_D1_Retailer'!M15,'S2_D2_Retailer'!M15,'S2_D3_Retailer'!M15)</f>
        <v/>
      </c>
      <c r="K18" s="2">
        <f>CHOOSE(Inputs!$B$12,'S2_D1_Retailer'!N15,'S2_D2_Retailer'!N15,'S2_D3_Retailer'!N15)</f>
        <v/>
      </c>
      <c r="L18" s="2">
        <f>CHOOSE(Inputs!$B$12,'S2_D1_Wholesaler'!C15,'S2_D2_Wholesaler'!C15,'S2_D3_Wholesaler'!C15)</f>
        <v/>
      </c>
      <c r="M18" s="2">
        <f>CHOOSE(Inputs!$B$12,'S2_D1_Wholesaler'!D15,'S2_D2_Wholesaler'!D15,'S2_D3_Wholesaler'!D15)</f>
        <v/>
      </c>
      <c r="N18" s="2">
        <f>CHOOSE(Inputs!$B$12,'S2_D1_Wholesaler'!H15,'S2_D2_Wholesaler'!H15,'S2_D3_Wholesaler'!H15)</f>
        <v/>
      </c>
      <c r="O18" s="2">
        <f>CHOOSE(Inputs!$B$12,'S2_D1_Wholesaler'!I15,'S2_D2_Wholesaler'!I15,'S2_D3_Wholesaler'!I15)</f>
        <v/>
      </c>
      <c r="P18" s="2">
        <f>CHOOSE(Inputs!$B$12,'S2_D1_Wholesaler'!J15,'S2_D2_Wholesaler'!J15,'S2_D3_Wholesaler'!J15)</f>
        <v/>
      </c>
      <c r="Q18" s="2">
        <f>CHOOSE(Inputs!$B$12,'S2_D1_Wholesaler'!P15,'S2_D2_Wholesaler'!P15,'S2_D3_Wholesaler'!P15)</f>
        <v/>
      </c>
      <c r="R18" s="2">
        <f>CHOOSE(Inputs!$B$12,'S2_D1_Wholesaler'!K15,'S2_D2_Wholesaler'!K15,'S2_D3_Wholesaler'!K15)</f>
        <v/>
      </c>
      <c r="S18" s="2">
        <f>CHOOSE(Inputs!$B$12,'S2_D1_Wholesaler'!L15,'S2_D2_Wholesaler'!L15,'S2_D3_Wholesaler'!L15)</f>
        <v/>
      </c>
      <c r="T18" s="2">
        <f>CHOOSE(Inputs!$B$12,'S2_D1_Wholesaler'!M15,'S2_D2_Wholesaler'!M15,'S2_D3_Wholesaler'!M15)</f>
        <v/>
      </c>
      <c r="U18" s="2">
        <f>CHOOSE(Inputs!$B$12,'S2_D1_Wholesaler'!N15,'S2_D2_Wholesaler'!N15,'S2_D3_Wholesaler'!N15)</f>
        <v/>
      </c>
      <c r="V18" s="2">
        <f>CHOOSE(Inputs!$B$12,'S2_D1_Distributor'!C15,'S2_D2_Distributor'!C15,'S2_D3_Distributor'!C15)</f>
        <v/>
      </c>
      <c r="W18" s="2">
        <f>CHOOSE(Inputs!$B$12,'S2_D1_Distributor'!D15,'S2_D2_Distributor'!D15,'S2_D3_Distributor'!D15)</f>
        <v/>
      </c>
      <c r="X18" s="2">
        <f>CHOOSE(Inputs!$B$12,'S2_D1_Distributor'!H15,'S2_D2_Distributor'!H15,'S2_D3_Distributor'!H15)</f>
        <v/>
      </c>
      <c r="Y18" s="2">
        <f>CHOOSE(Inputs!$B$12,'S2_D1_Distributor'!I15,'S2_D2_Distributor'!I15,'S2_D3_Distributor'!I15)</f>
        <v/>
      </c>
      <c r="Z18" s="2">
        <f>CHOOSE(Inputs!$B$12,'S2_D1_Distributor'!J15,'S2_D2_Distributor'!J15,'S2_D3_Distributor'!J15)</f>
        <v/>
      </c>
      <c r="AA18" s="2">
        <f>CHOOSE(Inputs!$B$12,'S2_D1_Distributor'!P15,'S2_D2_Distributor'!P15,'S2_D3_Distributor'!P15)</f>
        <v/>
      </c>
      <c r="AB18" s="2">
        <f>CHOOSE(Inputs!$B$12,'S2_D1_Distributor'!K15,'S2_D2_Distributor'!K15,'S2_D3_Distributor'!K15)</f>
        <v/>
      </c>
      <c r="AC18" s="2">
        <f>CHOOSE(Inputs!$B$12,'S2_D1_Distributor'!L15,'S2_D2_Distributor'!L15,'S2_D3_Distributor'!L15)</f>
        <v/>
      </c>
      <c r="AD18" s="2">
        <f>CHOOSE(Inputs!$B$12,'S2_D1_Distributor'!M15,'S2_D2_Distributor'!M15,'S2_D3_Distributor'!M15)</f>
        <v/>
      </c>
      <c r="AE18" s="2">
        <f>CHOOSE(Inputs!$B$12,'S2_D1_Distributor'!N15,'S2_D2_Distributor'!N15,'S2_D3_Distributor'!N15)</f>
        <v/>
      </c>
      <c r="AF18" s="2">
        <f>CHOOSE(Inputs!$B$12,'S2_D1_Factory'!C15,'S2_D2_Factory'!C15,'S2_D3_Factory'!C15)</f>
        <v/>
      </c>
      <c r="AG18" s="2">
        <f>CHOOSE(Inputs!$B$12,'S2_D1_Factory'!D15,'S2_D2_Factory'!D15,'S2_D3_Factory'!D15)</f>
        <v/>
      </c>
      <c r="AH18" s="2">
        <f>CHOOSE(Inputs!$B$12,'S2_D1_Factory'!H15,'S2_D2_Factory'!H15,'S2_D3_Factory'!H15)</f>
        <v/>
      </c>
      <c r="AI18" s="2">
        <f>CHOOSE(Inputs!$B$12,'S2_D1_Factory'!I15,'S2_D2_Factory'!I15,'S2_D3_Factory'!I15)</f>
        <v/>
      </c>
      <c r="AJ18" s="2">
        <f>CHOOSE(Inputs!$B$12,'S2_D1_Factory'!J15,'S2_D2_Factory'!J15,'S2_D3_Factory'!J15)</f>
        <v/>
      </c>
      <c r="AK18" s="2">
        <f>CHOOSE(Inputs!$B$12,'S2_D1_Factory'!P15,'S2_D2_Factory'!P15,'S2_D3_Factory'!P15)</f>
        <v/>
      </c>
      <c r="AL18" s="2">
        <f>CHOOSE(Inputs!$B$12,'S2_D1_Factory'!K15,'S2_D2_Factory'!K15,'S2_D3_Factory'!K15)</f>
        <v/>
      </c>
      <c r="AM18" s="2">
        <f>CHOOSE(Inputs!$B$12,'S2_D1_Factory'!L15,'S2_D2_Factory'!L15,'S2_D3_Factory'!L15)</f>
        <v/>
      </c>
      <c r="AN18" s="2">
        <f>CHOOSE(Inputs!$B$12,'S2_D1_Factory'!M15,'S2_D2_Factory'!M15,'S2_D3_Factory'!M15)</f>
        <v/>
      </c>
      <c r="AO18" s="2">
        <f>CHOOSE(Inputs!$B$12,'S2_D1_Factory'!N15,'S2_D2_Factory'!N15,'S2_D3_Factory'!N15)</f>
        <v/>
      </c>
      <c r="AP18" s="2">
        <f>SUM(H18,R18,AB18,AL18)</f>
        <v/>
      </c>
      <c r="AQ18" s="2">
        <f>SUM(I18,S18,AC18,AM18)</f>
        <v/>
      </c>
      <c r="AR18" s="2">
        <f>SUM(J18,T18,AD18,AN18)</f>
        <v/>
      </c>
      <c r="AS18" s="2">
        <f>AS17+AR18</f>
        <v/>
      </c>
    </row>
    <row r="19">
      <c r="A19" s="2" t="n">
        <v>15</v>
      </c>
      <c r="B19" s="2">
        <f>CHOOSE(Inputs!$B$12,'S2_D1_Retailer'!C16,'S2_D2_Retailer'!C16,'S2_D3_Retailer'!C16)</f>
        <v/>
      </c>
      <c r="C19" s="2">
        <f>CHOOSE(Inputs!$B$12,'S2_D1_Retailer'!D16,'S2_D2_Retailer'!D16,'S2_D3_Retailer'!D16)</f>
        <v/>
      </c>
      <c r="D19" s="2">
        <f>CHOOSE(Inputs!$B$12,'S2_D1_Retailer'!H16,'S2_D2_Retailer'!H16,'S2_D3_Retailer'!H16)</f>
        <v/>
      </c>
      <c r="E19" s="2">
        <f>CHOOSE(Inputs!$B$12,'S2_D1_Retailer'!I16,'S2_D2_Retailer'!I16,'S2_D3_Retailer'!I16)</f>
        <v/>
      </c>
      <c r="F19" s="2">
        <f>CHOOSE(Inputs!$B$12,'S2_D1_Retailer'!J16,'S2_D2_Retailer'!J16,'S2_D3_Retailer'!J16)</f>
        <v/>
      </c>
      <c r="G19" s="2">
        <f>CHOOSE(Inputs!$B$12,'S2_D1_Retailer'!P16,'S2_D2_Retailer'!P16,'S2_D3_Retailer'!P16)</f>
        <v/>
      </c>
      <c r="H19" s="2">
        <f>CHOOSE(Inputs!$B$12,'S2_D1_Retailer'!K16,'S2_D2_Retailer'!K16,'S2_D3_Retailer'!K16)</f>
        <v/>
      </c>
      <c r="I19" s="2">
        <f>CHOOSE(Inputs!$B$12,'S2_D1_Retailer'!L16,'S2_D2_Retailer'!L16,'S2_D3_Retailer'!L16)</f>
        <v/>
      </c>
      <c r="J19" s="2">
        <f>CHOOSE(Inputs!$B$12,'S2_D1_Retailer'!M16,'S2_D2_Retailer'!M16,'S2_D3_Retailer'!M16)</f>
        <v/>
      </c>
      <c r="K19" s="2">
        <f>CHOOSE(Inputs!$B$12,'S2_D1_Retailer'!N16,'S2_D2_Retailer'!N16,'S2_D3_Retailer'!N16)</f>
        <v/>
      </c>
      <c r="L19" s="2">
        <f>CHOOSE(Inputs!$B$12,'S2_D1_Wholesaler'!C16,'S2_D2_Wholesaler'!C16,'S2_D3_Wholesaler'!C16)</f>
        <v/>
      </c>
      <c r="M19" s="2">
        <f>CHOOSE(Inputs!$B$12,'S2_D1_Wholesaler'!D16,'S2_D2_Wholesaler'!D16,'S2_D3_Wholesaler'!D16)</f>
        <v/>
      </c>
      <c r="N19" s="2">
        <f>CHOOSE(Inputs!$B$12,'S2_D1_Wholesaler'!H16,'S2_D2_Wholesaler'!H16,'S2_D3_Wholesaler'!H16)</f>
        <v/>
      </c>
      <c r="O19" s="2">
        <f>CHOOSE(Inputs!$B$12,'S2_D1_Wholesaler'!I16,'S2_D2_Wholesaler'!I16,'S2_D3_Wholesaler'!I16)</f>
        <v/>
      </c>
      <c r="P19" s="2">
        <f>CHOOSE(Inputs!$B$12,'S2_D1_Wholesaler'!J16,'S2_D2_Wholesaler'!J16,'S2_D3_Wholesaler'!J16)</f>
        <v/>
      </c>
      <c r="Q19" s="2">
        <f>CHOOSE(Inputs!$B$12,'S2_D1_Wholesaler'!P16,'S2_D2_Wholesaler'!P16,'S2_D3_Wholesaler'!P16)</f>
        <v/>
      </c>
      <c r="R19" s="2">
        <f>CHOOSE(Inputs!$B$12,'S2_D1_Wholesaler'!K16,'S2_D2_Wholesaler'!K16,'S2_D3_Wholesaler'!K16)</f>
        <v/>
      </c>
      <c r="S19" s="2">
        <f>CHOOSE(Inputs!$B$12,'S2_D1_Wholesaler'!L16,'S2_D2_Wholesaler'!L16,'S2_D3_Wholesaler'!L16)</f>
        <v/>
      </c>
      <c r="T19" s="2">
        <f>CHOOSE(Inputs!$B$12,'S2_D1_Wholesaler'!M16,'S2_D2_Wholesaler'!M16,'S2_D3_Wholesaler'!M16)</f>
        <v/>
      </c>
      <c r="U19" s="2">
        <f>CHOOSE(Inputs!$B$12,'S2_D1_Wholesaler'!N16,'S2_D2_Wholesaler'!N16,'S2_D3_Wholesaler'!N16)</f>
        <v/>
      </c>
      <c r="V19" s="2">
        <f>CHOOSE(Inputs!$B$12,'S2_D1_Distributor'!C16,'S2_D2_Distributor'!C16,'S2_D3_Distributor'!C16)</f>
        <v/>
      </c>
      <c r="W19" s="2">
        <f>CHOOSE(Inputs!$B$12,'S2_D1_Distributor'!D16,'S2_D2_Distributor'!D16,'S2_D3_Distributor'!D16)</f>
        <v/>
      </c>
      <c r="X19" s="2">
        <f>CHOOSE(Inputs!$B$12,'S2_D1_Distributor'!H16,'S2_D2_Distributor'!H16,'S2_D3_Distributor'!H16)</f>
        <v/>
      </c>
      <c r="Y19" s="2">
        <f>CHOOSE(Inputs!$B$12,'S2_D1_Distributor'!I16,'S2_D2_Distributor'!I16,'S2_D3_Distributor'!I16)</f>
        <v/>
      </c>
      <c r="Z19" s="2">
        <f>CHOOSE(Inputs!$B$12,'S2_D1_Distributor'!J16,'S2_D2_Distributor'!J16,'S2_D3_Distributor'!J16)</f>
        <v/>
      </c>
      <c r="AA19" s="2">
        <f>CHOOSE(Inputs!$B$12,'S2_D1_Distributor'!P16,'S2_D2_Distributor'!P16,'S2_D3_Distributor'!P16)</f>
        <v/>
      </c>
      <c r="AB19" s="2">
        <f>CHOOSE(Inputs!$B$12,'S2_D1_Distributor'!K16,'S2_D2_Distributor'!K16,'S2_D3_Distributor'!K16)</f>
        <v/>
      </c>
      <c r="AC19" s="2">
        <f>CHOOSE(Inputs!$B$12,'S2_D1_Distributor'!L16,'S2_D2_Distributor'!L16,'S2_D3_Distributor'!L16)</f>
        <v/>
      </c>
      <c r="AD19" s="2">
        <f>CHOOSE(Inputs!$B$12,'S2_D1_Distributor'!M16,'S2_D2_Distributor'!M16,'S2_D3_Distributor'!M16)</f>
        <v/>
      </c>
      <c r="AE19" s="2">
        <f>CHOOSE(Inputs!$B$12,'S2_D1_Distributor'!N16,'S2_D2_Distributor'!N16,'S2_D3_Distributor'!N16)</f>
        <v/>
      </c>
      <c r="AF19" s="2">
        <f>CHOOSE(Inputs!$B$12,'S2_D1_Factory'!C16,'S2_D2_Factory'!C16,'S2_D3_Factory'!C16)</f>
        <v/>
      </c>
      <c r="AG19" s="2">
        <f>CHOOSE(Inputs!$B$12,'S2_D1_Factory'!D16,'S2_D2_Factory'!D16,'S2_D3_Factory'!D16)</f>
        <v/>
      </c>
      <c r="AH19" s="2">
        <f>CHOOSE(Inputs!$B$12,'S2_D1_Factory'!H16,'S2_D2_Factory'!H16,'S2_D3_Factory'!H16)</f>
        <v/>
      </c>
      <c r="AI19" s="2">
        <f>CHOOSE(Inputs!$B$12,'S2_D1_Factory'!I16,'S2_D2_Factory'!I16,'S2_D3_Factory'!I16)</f>
        <v/>
      </c>
      <c r="AJ19" s="2">
        <f>CHOOSE(Inputs!$B$12,'S2_D1_Factory'!J16,'S2_D2_Factory'!J16,'S2_D3_Factory'!J16)</f>
        <v/>
      </c>
      <c r="AK19" s="2">
        <f>CHOOSE(Inputs!$B$12,'S2_D1_Factory'!P16,'S2_D2_Factory'!P16,'S2_D3_Factory'!P16)</f>
        <v/>
      </c>
      <c r="AL19" s="2">
        <f>CHOOSE(Inputs!$B$12,'S2_D1_Factory'!K16,'S2_D2_Factory'!K16,'S2_D3_Factory'!K16)</f>
        <v/>
      </c>
      <c r="AM19" s="2">
        <f>CHOOSE(Inputs!$B$12,'S2_D1_Factory'!L16,'S2_D2_Factory'!L16,'S2_D3_Factory'!L16)</f>
        <v/>
      </c>
      <c r="AN19" s="2">
        <f>CHOOSE(Inputs!$B$12,'S2_D1_Factory'!M16,'S2_D2_Factory'!M16,'S2_D3_Factory'!M16)</f>
        <v/>
      </c>
      <c r="AO19" s="2">
        <f>CHOOSE(Inputs!$B$12,'S2_D1_Factory'!N16,'S2_D2_Factory'!N16,'S2_D3_Factory'!N16)</f>
        <v/>
      </c>
      <c r="AP19" s="2">
        <f>SUM(H19,R19,AB19,AL19)</f>
        <v/>
      </c>
      <c r="AQ19" s="2">
        <f>SUM(I19,S19,AC19,AM19)</f>
        <v/>
      </c>
      <c r="AR19" s="2">
        <f>SUM(J19,T19,AD19,AN19)</f>
        <v/>
      </c>
      <c r="AS19" s="2">
        <f>AS18+AR19</f>
        <v/>
      </c>
    </row>
    <row r="20">
      <c r="A20" s="2" t="n">
        <v>16</v>
      </c>
      <c r="B20" s="2">
        <f>CHOOSE(Inputs!$B$12,'S2_D1_Retailer'!C17,'S2_D2_Retailer'!C17,'S2_D3_Retailer'!C17)</f>
        <v/>
      </c>
      <c r="C20" s="2">
        <f>CHOOSE(Inputs!$B$12,'S2_D1_Retailer'!D17,'S2_D2_Retailer'!D17,'S2_D3_Retailer'!D17)</f>
        <v/>
      </c>
      <c r="D20" s="2">
        <f>CHOOSE(Inputs!$B$12,'S2_D1_Retailer'!H17,'S2_D2_Retailer'!H17,'S2_D3_Retailer'!H17)</f>
        <v/>
      </c>
      <c r="E20" s="2">
        <f>CHOOSE(Inputs!$B$12,'S2_D1_Retailer'!I17,'S2_D2_Retailer'!I17,'S2_D3_Retailer'!I17)</f>
        <v/>
      </c>
      <c r="F20" s="2">
        <f>CHOOSE(Inputs!$B$12,'S2_D1_Retailer'!J17,'S2_D2_Retailer'!J17,'S2_D3_Retailer'!J17)</f>
        <v/>
      </c>
      <c r="G20" s="2">
        <f>CHOOSE(Inputs!$B$12,'S2_D1_Retailer'!P17,'S2_D2_Retailer'!P17,'S2_D3_Retailer'!P17)</f>
        <v/>
      </c>
      <c r="H20" s="2">
        <f>CHOOSE(Inputs!$B$12,'S2_D1_Retailer'!K17,'S2_D2_Retailer'!K17,'S2_D3_Retailer'!K17)</f>
        <v/>
      </c>
      <c r="I20" s="2">
        <f>CHOOSE(Inputs!$B$12,'S2_D1_Retailer'!L17,'S2_D2_Retailer'!L17,'S2_D3_Retailer'!L17)</f>
        <v/>
      </c>
      <c r="J20" s="2">
        <f>CHOOSE(Inputs!$B$12,'S2_D1_Retailer'!M17,'S2_D2_Retailer'!M17,'S2_D3_Retailer'!M17)</f>
        <v/>
      </c>
      <c r="K20" s="2">
        <f>CHOOSE(Inputs!$B$12,'S2_D1_Retailer'!N17,'S2_D2_Retailer'!N17,'S2_D3_Retailer'!N17)</f>
        <v/>
      </c>
      <c r="L20" s="2">
        <f>CHOOSE(Inputs!$B$12,'S2_D1_Wholesaler'!C17,'S2_D2_Wholesaler'!C17,'S2_D3_Wholesaler'!C17)</f>
        <v/>
      </c>
      <c r="M20" s="2">
        <f>CHOOSE(Inputs!$B$12,'S2_D1_Wholesaler'!D17,'S2_D2_Wholesaler'!D17,'S2_D3_Wholesaler'!D17)</f>
        <v/>
      </c>
      <c r="N20" s="2">
        <f>CHOOSE(Inputs!$B$12,'S2_D1_Wholesaler'!H17,'S2_D2_Wholesaler'!H17,'S2_D3_Wholesaler'!H17)</f>
        <v/>
      </c>
      <c r="O20" s="2">
        <f>CHOOSE(Inputs!$B$12,'S2_D1_Wholesaler'!I17,'S2_D2_Wholesaler'!I17,'S2_D3_Wholesaler'!I17)</f>
        <v/>
      </c>
      <c r="P20" s="2">
        <f>CHOOSE(Inputs!$B$12,'S2_D1_Wholesaler'!J17,'S2_D2_Wholesaler'!J17,'S2_D3_Wholesaler'!J17)</f>
        <v/>
      </c>
      <c r="Q20" s="2">
        <f>CHOOSE(Inputs!$B$12,'S2_D1_Wholesaler'!P17,'S2_D2_Wholesaler'!P17,'S2_D3_Wholesaler'!P17)</f>
        <v/>
      </c>
      <c r="R20" s="2">
        <f>CHOOSE(Inputs!$B$12,'S2_D1_Wholesaler'!K17,'S2_D2_Wholesaler'!K17,'S2_D3_Wholesaler'!K17)</f>
        <v/>
      </c>
      <c r="S20" s="2">
        <f>CHOOSE(Inputs!$B$12,'S2_D1_Wholesaler'!L17,'S2_D2_Wholesaler'!L17,'S2_D3_Wholesaler'!L17)</f>
        <v/>
      </c>
      <c r="T20" s="2">
        <f>CHOOSE(Inputs!$B$12,'S2_D1_Wholesaler'!M17,'S2_D2_Wholesaler'!M17,'S2_D3_Wholesaler'!M17)</f>
        <v/>
      </c>
      <c r="U20" s="2">
        <f>CHOOSE(Inputs!$B$12,'S2_D1_Wholesaler'!N17,'S2_D2_Wholesaler'!N17,'S2_D3_Wholesaler'!N17)</f>
        <v/>
      </c>
      <c r="V20" s="2">
        <f>CHOOSE(Inputs!$B$12,'S2_D1_Distributor'!C17,'S2_D2_Distributor'!C17,'S2_D3_Distributor'!C17)</f>
        <v/>
      </c>
      <c r="W20" s="2">
        <f>CHOOSE(Inputs!$B$12,'S2_D1_Distributor'!D17,'S2_D2_Distributor'!D17,'S2_D3_Distributor'!D17)</f>
        <v/>
      </c>
      <c r="X20" s="2">
        <f>CHOOSE(Inputs!$B$12,'S2_D1_Distributor'!H17,'S2_D2_Distributor'!H17,'S2_D3_Distributor'!H17)</f>
        <v/>
      </c>
      <c r="Y20" s="2">
        <f>CHOOSE(Inputs!$B$12,'S2_D1_Distributor'!I17,'S2_D2_Distributor'!I17,'S2_D3_Distributor'!I17)</f>
        <v/>
      </c>
      <c r="Z20" s="2">
        <f>CHOOSE(Inputs!$B$12,'S2_D1_Distributor'!J17,'S2_D2_Distributor'!J17,'S2_D3_Distributor'!J17)</f>
        <v/>
      </c>
      <c r="AA20" s="2">
        <f>CHOOSE(Inputs!$B$12,'S2_D1_Distributor'!P17,'S2_D2_Distributor'!P17,'S2_D3_Distributor'!P17)</f>
        <v/>
      </c>
      <c r="AB20" s="2">
        <f>CHOOSE(Inputs!$B$12,'S2_D1_Distributor'!K17,'S2_D2_Distributor'!K17,'S2_D3_Distributor'!K17)</f>
        <v/>
      </c>
      <c r="AC20" s="2">
        <f>CHOOSE(Inputs!$B$12,'S2_D1_Distributor'!L17,'S2_D2_Distributor'!L17,'S2_D3_Distributor'!L17)</f>
        <v/>
      </c>
      <c r="AD20" s="2">
        <f>CHOOSE(Inputs!$B$12,'S2_D1_Distributor'!M17,'S2_D2_Distributor'!M17,'S2_D3_Distributor'!M17)</f>
        <v/>
      </c>
      <c r="AE20" s="2">
        <f>CHOOSE(Inputs!$B$12,'S2_D1_Distributor'!N17,'S2_D2_Distributor'!N17,'S2_D3_Distributor'!N17)</f>
        <v/>
      </c>
      <c r="AF20" s="2">
        <f>CHOOSE(Inputs!$B$12,'S2_D1_Factory'!C17,'S2_D2_Factory'!C17,'S2_D3_Factory'!C17)</f>
        <v/>
      </c>
      <c r="AG20" s="2">
        <f>CHOOSE(Inputs!$B$12,'S2_D1_Factory'!D17,'S2_D2_Factory'!D17,'S2_D3_Factory'!D17)</f>
        <v/>
      </c>
      <c r="AH20" s="2">
        <f>CHOOSE(Inputs!$B$12,'S2_D1_Factory'!H17,'S2_D2_Factory'!H17,'S2_D3_Factory'!H17)</f>
        <v/>
      </c>
      <c r="AI20" s="2">
        <f>CHOOSE(Inputs!$B$12,'S2_D1_Factory'!I17,'S2_D2_Factory'!I17,'S2_D3_Factory'!I17)</f>
        <v/>
      </c>
      <c r="AJ20" s="2">
        <f>CHOOSE(Inputs!$B$12,'S2_D1_Factory'!J17,'S2_D2_Factory'!J17,'S2_D3_Factory'!J17)</f>
        <v/>
      </c>
      <c r="AK20" s="2">
        <f>CHOOSE(Inputs!$B$12,'S2_D1_Factory'!P17,'S2_D2_Factory'!P17,'S2_D3_Factory'!P17)</f>
        <v/>
      </c>
      <c r="AL20" s="2">
        <f>CHOOSE(Inputs!$B$12,'S2_D1_Factory'!K17,'S2_D2_Factory'!K17,'S2_D3_Factory'!K17)</f>
        <v/>
      </c>
      <c r="AM20" s="2">
        <f>CHOOSE(Inputs!$B$12,'S2_D1_Factory'!L17,'S2_D2_Factory'!L17,'S2_D3_Factory'!L17)</f>
        <v/>
      </c>
      <c r="AN20" s="2">
        <f>CHOOSE(Inputs!$B$12,'S2_D1_Factory'!M17,'S2_D2_Factory'!M17,'S2_D3_Factory'!M17)</f>
        <v/>
      </c>
      <c r="AO20" s="2">
        <f>CHOOSE(Inputs!$B$12,'S2_D1_Factory'!N17,'S2_D2_Factory'!N17,'S2_D3_Factory'!N17)</f>
        <v/>
      </c>
      <c r="AP20" s="2">
        <f>SUM(H20,R20,AB20,AL20)</f>
        <v/>
      </c>
      <c r="AQ20" s="2">
        <f>SUM(I20,S20,AC20,AM20)</f>
        <v/>
      </c>
      <c r="AR20" s="2">
        <f>SUM(J20,T20,AD20,AN20)</f>
        <v/>
      </c>
      <c r="AS20" s="2">
        <f>AS19+AR20</f>
        <v/>
      </c>
    </row>
    <row r="21">
      <c r="A21" s="2" t="n">
        <v>17</v>
      </c>
      <c r="B21" s="2">
        <f>CHOOSE(Inputs!$B$12,'S2_D1_Retailer'!C18,'S2_D2_Retailer'!C18,'S2_D3_Retailer'!C18)</f>
        <v/>
      </c>
      <c r="C21" s="2">
        <f>CHOOSE(Inputs!$B$12,'S2_D1_Retailer'!D18,'S2_D2_Retailer'!D18,'S2_D3_Retailer'!D18)</f>
        <v/>
      </c>
      <c r="D21" s="2">
        <f>CHOOSE(Inputs!$B$12,'S2_D1_Retailer'!H18,'S2_D2_Retailer'!H18,'S2_D3_Retailer'!H18)</f>
        <v/>
      </c>
      <c r="E21" s="2">
        <f>CHOOSE(Inputs!$B$12,'S2_D1_Retailer'!I18,'S2_D2_Retailer'!I18,'S2_D3_Retailer'!I18)</f>
        <v/>
      </c>
      <c r="F21" s="2">
        <f>CHOOSE(Inputs!$B$12,'S2_D1_Retailer'!J18,'S2_D2_Retailer'!J18,'S2_D3_Retailer'!J18)</f>
        <v/>
      </c>
      <c r="G21" s="2">
        <f>CHOOSE(Inputs!$B$12,'S2_D1_Retailer'!P18,'S2_D2_Retailer'!P18,'S2_D3_Retailer'!P18)</f>
        <v/>
      </c>
      <c r="H21" s="2">
        <f>CHOOSE(Inputs!$B$12,'S2_D1_Retailer'!K18,'S2_D2_Retailer'!K18,'S2_D3_Retailer'!K18)</f>
        <v/>
      </c>
      <c r="I21" s="2">
        <f>CHOOSE(Inputs!$B$12,'S2_D1_Retailer'!L18,'S2_D2_Retailer'!L18,'S2_D3_Retailer'!L18)</f>
        <v/>
      </c>
      <c r="J21" s="2">
        <f>CHOOSE(Inputs!$B$12,'S2_D1_Retailer'!M18,'S2_D2_Retailer'!M18,'S2_D3_Retailer'!M18)</f>
        <v/>
      </c>
      <c r="K21" s="2">
        <f>CHOOSE(Inputs!$B$12,'S2_D1_Retailer'!N18,'S2_D2_Retailer'!N18,'S2_D3_Retailer'!N18)</f>
        <v/>
      </c>
      <c r="L21" s="2">
        <f>CHOOSE(Inputs!$B$12,'S2_D1_Wholesaler'!C18,'S2_D2_Wholesaler'!C18,'S2_D3_Wholesaler'!C18)</f>
        <v/>
      </c>
      <c r="M21" s="2">
        <f>CHOOSE(Inputs!$B$12,'S2_D1_Wholesaler'!D18,'S2_D2_Wholesaler'!D18,'S2_D3_Wholesaler'!D18)</f>
        <v/>
      </c>
      <c r="N21" s="2">
        <f>CHOOSE(Inputs!$B$12,'S2_D1_Wholesaler'!H18,'S2_D2_Wholesaler'!H18,'S2_D3_Wholesaler'!H18)</f>
        <v/>
      </c>
      <c r="O21" s="2">
        <f>CHOOSE(Inputs!$B$12,'S2_D1_Wholesaler'!I18,'S2_D2_Wholesaler'!I18,'S2_D3_Wholesaler'!I18)</f>
        <v/>
      </c>
      <c r="P21" s="2">
        <f>CHOOSE(Inputs!$B$12,'S2_D1_Wholesaler'!J18,'S2_D2_Wholesaler'!J18,'S2_D3_Wholesaler'!J18)</f>
        <v/>
      </c>
      <c r="Q21" s="2">
        <f>CHOOSE(Inputs!$B$12,'S2_D1_Wholesaler'!P18,'S2_D2_Wholesaler'!P18,'S2_D3_Wholesaler'!P18)</f>
        <v/>
      </c>
      <c r="R21" s="2">
        <f>CHOOSE(Inputs!$B$12,'S2_D1_Wholesaler'!K18,'S2_D2_Wholesaler'!K18,'S2_D3_Wholesaler'!K18)</f>
        <v/>
      </c>
      <c r="S21" s="2">
        <f>CHOOSE(Inputs!$B$12,'S2_D1_Wholesaler'!L18,'S2_D2_Wholesaler'!L18,'S2_D3_Wholesaler'!L18)</f>
        <v/>
      </c>
      <c r="T21" s="2">
        <f>CHOOSE(Inputs!$B$12,'S2_D1_Wholesaler'!M18,'S2_D2_Wholesaler'!M18,'S2_D3_Wholesaler'!M18)</f>
        <v/>
      </c>
      <c r="U21" s="2">
        <f>CHOOSE(Inputs!$B$12,'S2_D1_Wholesaler'!N18,'S2_D2_Wholesaler'!N18,'S2_D3_Wholesaler'!N18)</f>
        <v/>
      </c>
      <c r="V21" s="2">
        <f>CHOOSE(Inputs!$B$12,'S2_D1_Distributor'!C18,'S2_D2_Distributor'!C18,'S2_D3_Distributor'!C18)</f>
        <v/>
      </c>
      <c r="W21" s="2">
        <f>CHOOSE(Inputs!$B$12,'S2_D1_Distributor'!D18,'S2_D2_Distributor'!D18,'S2_D3_Distributor'!D18)</f>
        <v/>
      </c>
      <c r="X21" s="2">
        <f>CHOOSE(Inputs!$B$12,'S2_D1_Distributor'!H18,'S2_D2_Distributor'!H18,'S2_D3_Distributor'!H18)</f>
        <v/>
      </c>
      <c r="Y21" s="2">
        <f>CHOOSE(Inputs!$B$12,'S2_D1_Distributor'!I18,'S2_D2_Distributor'!I18,'S2_D3_Distributor'!I18)</f>
        <v/>
      </c>
      <c r="Z21" s="2">
        <f>CHOOSE(Inputs!$B$12,'S2_D1_Distributor'!J18,'S2_D2_Distributor'!J18,'S2_D3_Distributor'!J18)</f>
        <v/>
      </c>
      <c r="AA21" s="2">
        <f>CHOOSE(Inputs!$B$12,'S2_D1_Distributor'!P18,'S2_D2_Distributor'!P18,'S2_D3_Distributor'!P18)</f>
        <v/>
      </c>
      <c r="AB21" s="2">
        <f>CHOOSE(Inputs!$B$12,'S2_D1_Distributor'!K18,'S2_D2_Distributor'!K18,'S2_D3_Distributor'!K18)</f>
        <v/>
      </c>
      <c r="AC21" s="2">
        <f>CHOOSE(Inputs!$B$12,'S2_D1_Distributor'!L18,'S2_D2_Distributor'!L18,'S2_D3_Distributor'!L18)</f>
        <v/>
      </c>
      <c r="AD21" s="2">
        <f>CHOOSE(Inputs!$B$12,'S2_D1_Distributor'!M18,'S2_D2_Distributor'!M18,'S2_D3_Distributor'!M18)</f>
        <v/>
      </c>
      <c r="AE21" s="2">
        <f>CHOOSE(Inputs!$B$12,'S2_D1_Distributor'!N18,'S2_D2_Distributor'!N18,'S2_D3_Distributor'!N18)</f>
        <v/>
      </c>
      <c r="AF21" s="2">
        <f>CHOOSE(Inputs!$B$12,'S2_D1_Factory'!C18,'S2_D2_Factory'!C18,'S2_D3_Factory'!C18)</f>
        <v/>
      </c>
      <c r="AG21" s="2">
        <f>CHOOSE(Inputs!$B$12,'S2_D1_Factory'!D18,'S2_D2_Factory'!D18,'S2_D3_Factory'!D18)</f>
        <v/>
      </c>
      <c r="AH21" s="2">
        <f>CHOOSE(Inputs!$B$12,'S2_D1_Factory'!H18,'S2_D2_Factory'!H18,'S2_D3_Factory'!H18)</f>
        <v/>
      </c>
      <c r="AI21" s="2">
        <f>CHOOSE(Inputs!$B$12,'S2_D1_Factory'!I18,'S2_D2_Factory'!I18,'S2_D3_Factory'!I18)</f>
        <v/>
      </c>
      <c r="AJ21" s="2">
        <f>CHOOSE(Inputs!$B$12,'S2_D1_Factory'!J18,'S2_D2_Factory'!J18,'S2_D3_Factory'!J18)</f>
        <v/>
      </c>
      <c r="AK21" s="2">
        <f>CHOOSE(Inputs!$B$12,'S2_D1_Factory'!P18,'S2_D2_Factory'!P18,'S2_D3_Factory'!P18)</f>
        <v/>
      </c>
      <c r="AL21" s="2">
        <f>CHOOSE(Inputs!$B$12,'S2_D1_Factory'!K18,'S2_D2_Factory'!K18,'S2_D3_Factory'!K18)</f>
        <v/>
      </c>
      <c r="AM21" s="2">
        <f>CHOOSE(Inputs!$B$12,'S2_D1_Factory'!L18,'S2_D2_Factory'!L18,'S2_D3_Factory'!L18)</f>
        <v/>
      </c>
      <c r="AN21" s="2">
        <f>CHOOSE(Inputs!$B$12,'S2_D1_Factory'!M18,'S2_D2_Factory'!M18,'S2_D3_Factory'!M18)</f>
        <v/>
      </c>
      <c r="AO21" s="2">
        <f>CHOOSE(Inputs!$B$12,'S2_D1_Factory'!N18,'S2_D2_Factory'!N18,'S2_D3_Factory'!N18)</f>
        <v/>
      </c>
      <c r="AP21" s="2">
        <f>SUM(H21,R21,AB21,AL21)</f>
        <v/>
      </c>
      <c r="AQ21" s="2">
        <f>SUM(I21,S21,AC21,AM21)</f>
        <v/>
      </c>
      <c r="AR21" s="2">
        <f>SUM(J21,T21,AD21,AN21)</f>
        <v/>
      </c>
      <c r="AS21" s="2">
        <f>AS20+AR21</f>
        <v/>
      </c>
    </row>
    <row r="22">
      <c r="A22" s="2" t="n">
        <v>18</v>
      </c>
      <c r="B22" s="2">
        <f>CHOOSE(Inputs!$B$12,'S2_D1_Retailer'!C19,'S2_D2_Retailer'!C19,'S2_D3_Retailer'!C19)</f>
        <v/>
      </c>
      <c r="C22" s="2">
        <f>CHOOSE(Inputs!$B$12,'S2_D1_Retailer'!D19,'S2_D2_Retailer'!D19,'S2_D3_Retailer'!D19)</f>
        <v/>
      </c>
      <c r="D22" s="2">
        <f>CHOOSE(Inputs!$B$12,'S2_D1_Retailer'!H19,'S2_D2_Retailer'!H19,'S2_D3_Retailer'!H19)</f>
        <v/>
      </c>
      <c r="E22" s="2">
        <f>CHOOSE(Inputs!$B$12,'S2_D1_Retailer'!I19,'S2_D2_Retailer'!I19,'S2_D3_Retailer'!I19)</f>
        <v/>
      </c>
      <c r="F22" s="2">
        <f>CHOOSE(Inputs!$B$12,'S2_D1_Retailer'!J19,'S2_D2_Retailer'!J19,'S2_D3_Retailer'!J19)</f>
        <v/>
      </c>
      <c r="G22" s="2">
        <f>CHOOSE(Inputs!$B$12,'S2_D1_Retailer'!P19,'S2_D2_Retailer'!P19,'S2_D3_Retailer'!P19)</f>
        <v/>
      </c>
      <c r="H22" s="2">
        <f>CHOOSE(Inputs!$B$12,'S2_D1_Retailer'!K19,'S2_D2_Retailer'!K19,'S2_D3_Retailer'!K19)</f>
        <v/>
      </c>
      <c r="I22" s="2">
        <f>CHOOSE(Inputs!$B$12,'S2_D1_Retailer'!L19,'S2_D2_Retailer'!L19,'S2_D3_Retailer'!L19)</f>
        <v/>
      </c>
      <c r="J22" s="2">
        <f>CHOOSE(Inputs!$B$12,'S2_D1_Retailer'!M19,'S2_D2_Retailer'!M19,'S2_D3_Retailer'!M19)</f>
        <v/>
      </c>
      <c r="K22" s="2">
        <f>CHOOSE(Inputs!$B$12,'S2_D1_Retailer'!N19,'S2_D2_Retailer'!N19,'S2_D3_Retailer'!N19)</f>
        <v/>
      </c>
      <c r="L22" s="2">
        <f>CHOOSE(Inputs!$B$12,'S2_D1_Wholesaler'!C19,'S2_D2_Wholesaler'!C19,'S2_D3_Wholesaler'!C19)</f>
        <v/>
      </c>
      <c r="M22" s="2">
        <f>CHOOSE(Inputs!$B$12,'S2_D1_Wholesaler'!D19,'S2_D2_Wholesaler'!D19,'S2_D3_Wholesaler'!D19)</f>
        <v/>
      </c>
      <c r="N22" s="2">
        <f>CHOOSE(Inputs!$B$12,'S2_D1_Wholesaler'!H19,'S2_D2_Wholesaler'!H19,'S2_D3_Wholesaler'!H19)</f>
        <v/>
      </c>
      <c r="O22" s="2">
        <f>CHOOSE(Inputs!$B$12,'S2_D1_Wholesaler'!I19,'S2_D2_Wholesaler'!I19,'S2_D3_Wholesaler'!I19)</f>
        <v/>
      </c>
      <c r="P22" s="2">
        <f>CHOOSE(Inputs!$B$12,'S2_D1_Wholesaler'!J19,'S2_D2_Wholesaler'!J19,'S2_D3_Wholesaler'!J19)</f>
        <v/>
      </c>
      <c r="Q22" s="2">
        <f>CHOOSE(Inputs!$B$12,'S2_D1_Wholesaler'!P19,'S2_D2_Wholesaler'!P19,'S2_D3_Wholesaler'!P19)</f>
        <v/>
      </c>
      <c r="R22" s="2">
        <f>CHOOSE(Inputs!$B$12,'S2_D1_Wholesaler'!K19,'S2_D2_Wholesaler'!K19,'S2_D3_Wholesaler'!K19)</f>
        <v/>
      </c>
      <c r="S22" s="2">
        <f>CHOOSE(Inputs!$B$12,'S2_D1_Wholesaler'!L19,'S2_D2_Wholesaler'!L19,'S2_D3_Wholesaler'!L19)</f>
        <v/>
      </c>
      <c r="T22" s="2">
        <f>CHOOSE(Inputs!$B$12,'S2_D1_Wholesaler'!M19,'S2_D2_Wholesaler'!M19,'S2_D3_Wholesaler'!M19)</f>
        <v/>
      </c>
      <c r="U22" s="2">
        <f>CHOOSE(Inputs!$B$12,'S2_D1_Wholesaler'!N19,'S2_D2_Wholesaler'!N19,'S2_D3_Wholesaler'!N19)</f>
        <v/>
      </c>
      <c r="V22" s="2">
        <f>CHOOSE(Inputs!$B$12,'S2_D1_Distributor'!C19,'S2_D2_Distributor'!C19,'S2_D3_Distributor'!C19)</f>
        <v/>
      </c>
      <c r="W22" s="2">
        <f>CHOOSE(Inputs!$B$12,'S2_D1_Distributor'!D19,'S2_D2_Distributor'!D19,'S2_D3_Distributor'!D19)</f>
        <v/>
      </c>
      <c r="X22" s="2">
        <f>CHOOSE(Inputs!$B$12,'S2_D1_Distributor'!H19,'S2_D2_Distributor'!H19,'S2_D3_Distributor'!H19)</f>
        <v/>
      </c>
      <c r="Y22" s="2">
        <f>CHOOSE(Inputs!$B$12,'S2_D1_Distributor'!I19,'S2_D2_Distributor'!I19,'S2_D3_Distributor'!I19)</f>
        <v/>
      </c>
      <c r="Z22" s="2">
        <f>CHOOSE(Inputs!$B$12,'S2_D1_Distributor'!J19,'S2_D2_Distributor'!J19,'S2_D3_Distributor'!J19)</f>
        <v/>
      </c>
      <c r="AA22" s="2">
        <f>CHOOSE(Inputs!$B$12,'S2_D1_Distributor'!P19,'S2_D2_Distributor'!P19,'S2_D3_Distributor'!P19)</f>
        <v/>
      </c>
      <c r="AB22" s="2">
        <f>CHOOSE(Inputs!$B$12,'S2_D1_Distributor'!K19,'S2_D2_Distributor'!K19,'S2_D3_Distributor'!K19)</f>
        <v/>
      </c>
      <c r="AC22" s="2">
        <f>CHOOSE(Inputs!$B$12,'S2_D1_Distributor'!L19,'S2_D2_Distributor'!L19,'S2_D3_Distributor'!L19)</f>
        <v/>
      </c>
      <c r="AD22" s="2">
        <f>CHOOSE(Inputs!$B$12,'S2_D1_Distributor'!M19,'S2_D2_Distributor'!M19,'S2_D3_Distributor'!M19)</f>
        <v/>
      </c>
      <c r="AE22" s="2">
        <f>CHOOSE(Inputs!$B$12,'S2_D1_Distributor'!N19,'S2_D2_Distributor'!N19,'S2_D3_Distributor'!N19)</f>
        <v/>
      </c>
      <c r="AF22" s="2">
        <f>CHOOSE(Inputs!$B$12,'S2_D1_Factory'!C19,'S2_D2_Factory'!C19,'S2_D3_Factory'!C19)</f>
        <v/>
      </c>
      <c r="AG22" s="2">
        <f>CHOOSE(Inputs!$B$12,'S2_D1_Factory'!D19,'S2_D2_Factory'!D19,'S2_D3_Factory'!D19)</f>
        <v/>
      </c>
      <c r="AH22" s="2">
        <f>CHOOSE(Inputs!$B$12,'S2_D1_Factory'!H19,'S2_D2_Factory'!H19,'S2_D3_Factory'!H19)</f>
        <v/>
      </c>
      <c r="AI22" s="2">
        <f>CHOOSE(Inputs!$B$12,'S2_D1_Factory'!I19,'S2_D2_Factory'!I19,'S2_D3_Factory'!I19)</f>
        <v/>
      </c>
      <c r="AJ22" s="2">
        <f>CHOOSE(Inputs!$B$12,'S2_D1_Factory'!J19,'S2_D2_Factory'!J19,'S2_D3_Factory'!J19)</f>
        <v/>
      </c>
      <c r="AK22" s="2">
        <f>CHOOSE(Inputs!$B$12,'S2_D1_Factory'!P19,'S2_D2_Factory'!P19,'S2_D3_Factory'!P19)</f>
        <v/>
      </c>
      <c r="AL22" s="2">
        <f>CHOOSE(Inputs!$B$12,'S2_D1_Factory'!K19,'S2_D2_Factory'!K19,'S2_D3_Factory'!K19)</f>
        <v/>
      </c>
      <c r="AM22" s="2">
        <f>CHOOSE(Inputs!$B$12,'S2_D1_Factory'!L19,'S2_D2_Factory'!L19,'S2_D3_Factory'!L19)</f>
        <v/>
      </c>
      <c r="AN22" s="2">
        <f>CHOOSE(Inputs!$B$12,'S2_D1_Factory'!M19,'S2_D2_Factory'!M19,'S2_D3_Factory'!M19)</f>
        <v/>
      </c>
      <c r="AO22" s="2">
        <f>CHOOSE(Inputs!$B$12,'S2_D1_Factory'!N19,'S2_D2_Factory'!N19,'S2_D3_Factory'!N19)</f>
        <v/>
      </c>
      <c r="AP22" s="2">
        <f>SUM(H22,R22,AB22,AL22)</f>
        <v/>
      </c>
      <c r="AQ22" s="2">
        <f>SUM(I22,S22,AC22,AM22)</f>
        <v/>
      </c>
      <c r="AR22" s="2">
        <f>SUM(J22,T22,AD22,AN22)</f>
        <v/>
      </c>
      <c r="AS22" s="2">
        <f>AS21+AR22</f>
        <v/>
      </c>
    </row>
    <row r="23">
      <c r="A23" s="2" t="n">
        <v>19</v>
      </c>
      <c r="B23" s="2">
        <f>CHOOSE(Inputs!$B$12,'S2_D1_Retailer'!C20,'S2_D2_Retailer'!C20,'S2_D3_Retailer'!C20)</f>
        <v/>
      </c>
      <c r="C23" s="2">
        <f>CHOOSE(Inputs!$B$12,'S2_D1_Retailer'!D20,'S2_D2_Retailer'!D20,'S2_D3_Retailer'!D20)</f>
        <v/>
      </c>
      <c r="D23" s="2">
        <f>CHOOSE(Inputs!$B$12,'S2_D1_Retailer'!H20,'S2_D2_Retailer'!H20,'S2_D3_Retailer'!H20)</f>
        <v/>
      </c>
      <c r="E23" s="2">
        <f>CHOOSE(Inputs!$B$12,'S2_D1_Retailer'!I20,'S2_D2_Retailer'!I20,'S2_D3_Retailer'!I20)</f>
        <v/>
      </c>
      <c r="F23" s="2">
        <f>CHOOSE(Inputs!$B$12,'S2_D1_Retailer'!J20,'S2_D2_Retailer'!J20,'S2_D3_Retailer'!J20)</f>
        <v/>
      </c>
      <c r="G23" s="2">
        <f>CHOOSE(Inputs!$B$12,'S2_D1_Retailer'!P20,'S2_D2_Retailer'!P20,'S2_D3_Retailer'!P20)</f>
        <v/>
      </c>
      <c r="H23" s="2">
        <f>CHOOSE(Inputs!$B$12,'S2_D1_Retailer'!K20,'S2_D2_Retailer'!K20,'S2_D3_Retailer'!K20)</f>
        <v/>
      </c>
      <c r="I23" s="2">
        <f>CHOOSE(Inputs!$B$12,'S2_D1_Retailer'!L20,'S2_D2_Retailer'!L20,'S2_D3_Retailer'!L20)</f>
        <v/>
      </c>
      <c r="J23" s="2">
        <f>CHOOSE(Inputs!$B$12,'S2_D1_Retailer'!M20,'S2_D2_Retailer'!M20,'S2_D3_Retailer'!M20)</f>
        <v/>
      </c>
      <c r="K23" s="2">
        <f>CHOOSE(Inputs!$B$12,'S2_D1_Retailer'!N20,'S2_D2_Retailer'!N20,'S2_D3_Retailer'!N20)</f>
        <v/>
      </c>
      <c r="L23" s="2">
        <f>CHOOSE(Inputs!$B$12,'S2_D1_Wholesaler'!C20,'S2_D2_Wholesaler'!C20,'S2_D3_Wholesaler'!C20)</f>
        <v/>
      </c>
      <c r="M23" s="2">
        <f>CHOOSE(Inputs!$B$12,'S2_D1_Wholesaler'!D20,'S2_D2_Wholesaler'!D20,'S2_D3_Wholesaler'!D20)</f>
        <v/>
      </c>
      <c r="N23" s="2">
        <f>CHOOSE(Inputs!$B$12,'S2_D1_Wholesaler'!H20,'S2_D2_Wholesaler'!H20,'S2_D3_Wholesaler'!H20)</f>
        <v/>
      </c>
      <c r="O23" s="2">
        <f>CHOOSE(Inputs!$B$12,'S2_D1_Wholesaler'!I20,'S2_D2_Wholesaler'!I20,'S2_D3_Wholesaler'!I20)</f>
        <v/>
      </c>
      <c r="P23" s="2">
        <f>CHOOSE(Inputs!$B$12,'S2_D1_Wholesaler'!J20,'S2_D2_Wholesaler'!J20,'S2_D3_Wholesaler'!J20)</f>
        <v/>
      </c>
      <c r="Q23" s="2">
        <f>CHOOSE(Inputs!$B$12,'S2_D1_Wholesaler'!P20,'S2_D2_Wholesaler'!P20,'S2_D3_Wholesaler'!P20)</f>
        <v/>
      </c>
      <c r="R23" s="2">
        <f>CHOOSE(Inputs!$B$12,'S2_D1_Wholesaler'!K20,'S2_D2_Wholesaler'!K20,'S2_D3_Wholesaler'!K20)</f>
        <v/>
      </c>
      <c r="S23" s="2">
        <f>CHOOSE(Inputs!$B$12,'S2_D1_Wholesaler'!L20,'S2_D2_Wholesaler'!L20,'S2_D3_Wholesaler'!L20)</f>
        <v/>
      </c>
      <c r="T23" s="2">
        <f>CHOOSE(Inputs!$B$12,'S2_D1_Wholesaler'!M20,'S2_D2_Wholesaler'!M20,'S2_D3_Wholesaler'!M20)</f>
        <v/>
      </c>
      <c r="U23" s="2">
        <f>CHOOSE(Inputs!$B$12,'S2_D1_Wholesaler'!N20,'S2_D2_Wholesaler'!N20,'S2_D3_Wholesaler'!N20)</f>
        <v/>
      </c>
      <c r="V23" s="2">
        <f>CHOOSE(Inputs!$B$12,'S2_D1_Distributor'!C20,'S2_D2_Distributor'!C20,'S2_D3_Distributor'!C20)</f>
        <v/>
      </c>
      <c r="W23" s="2">
        <f>CHOOSE(Inputs!$B$12,'S2_D1_Distributor'!D20,'S2_D2_Distributor'!D20,'S2_D3_Distributor'!D20)</f>
        <v/>
      </c>
      <c r="X23" s="2">
        <f>CHOOSE(Inputs!$B$12,'S2_D1_Distributor'!H20,'S2_D2_Distributor'!H20,'S2_D3_Distributor'!H20)</f>
        <v/>
      </c>
      <c r="Y23" s="2">
        <f>CHOOSE(Inputs!$B$12,'S2_D1_Distributor'!I20,'S2_D2_Distributor'!I20,'S2_D3_Distributor'!I20)</f>
        <v/>
      </c>
      <c r="Z23" s="2">
        <f>CHOOSE(Inputs!$B$12,'S2_D1_Distributor'!J20,'S2_D2_Distributor'!J20,'S2_D3_Distributor'!J20)</f>
        <v/>
      </c>
      <c r="AA23" s="2">
        <f>CHOOSE(Inputs!$B$12,'S2_D1_Distributor'!P20,'S2_D2_Distributor'!P20,'S2_D3_Distributor'!P20)</f>
        <v/>
      </c>
      <c r="AB23" s="2">
        <f>CHOOSE(Inputs!$B$12,'S2_D1_Distributor'!K20,'S2_D2_Distributor'!K20,'S2_D3_Distributor'!K20)</f>
        <v/>
      </c>
      <c r="AC23" s="2">
        <f>CHOOSE(Inputs!$B$12,'S2_D1_Distributor'!L20,'S2_D2_Distributor'!L20,'S2_D3_Distributor'!L20)</f>
        <v/>
      </c>
      <c r="AD23" s="2">
        <f>CHOOSE(Inputs!$B$12,'S2_D1_Distributor'!M20,'S2_D2_Distributor'!M20,'S2_D3_Distributor'!M20)</f>
        <v/>
      </c>
      <c r="AE23" s="2">
        <f>CHOOSE(Inputs!$B$12,'S2_D1_Distributor'!N20,'S2_D2_Distributor'!N20,'S2_D3_Distributor'!N20)</f>
        <v/>
      </c>
      <c r="AF23" s="2">
        <f>CHOOSE(Inputs!$B$12,'S2_D1_Factory'!C20,'S2_D2_Factory'!C20,'S2_D3_Factory'!C20)</f>
        <v/>
      </c>
      <c r="AG23" s="2">
        <f>CHOOSE(Inputs!$B$12,'S2_D1_Factory'!D20,'S2_D2_Factory'!D20,'S2_D3_Factory'!D20)</f>
        <v/>
      </c>
      <c r="AH23" s="2">
        <f>CHOOSE(Inputs!$B$12,'S2_D1_Factory'!H20,'S2_D2_Factory'!H20,'S2_D3_Factory'!H20)</f>
        <v/>
      </c>
      <c r="AI23" s="2">
        <f>CHOOSE(Inputs!$B$12,'S2_D1_Factory'!I20,'S2_D2_Factory'!I20,'S2_D3_Factory'!I20)</f>
        <v/>
      </c>
      <c r="AJ23" s="2">
        <f>CHOOSE(Inputs!$B$12,'S2_D1_Factory'!J20,'S2_D2_Factory'!J20,'S2_D3_Factory'!J20)</f>
        <v/>
      </c>
      <c r="AK23" s="2">
        <f>CHOOSE(Inputs!$B$12,'S2_D1_Factory'!P20,'S2_D2_Factory'!P20,'S2_D3_Factory'!P20)</f>
        <v/>
      </c>
      <c r="AL23" s="2">
        <f>CHOOSE(Inputs!$B$12,'S2_D1_Factory'!K20,'S2_D2_Factory'!K20,'S2_D3_Factory'!K20)</f>
        <v/>
      </c>
      <c r="AM23" s="2">
        <f>CHOOSE(Inputs!$B$12,'S2_D1_Factory'!L20,'S2_D2_Factory'!L20,'S2_D3_Factory'!L20)</f>
        <v/>
      </c>
      <c r="AN23" s="2">
        <f>CHOOSE(Inputs!$B$12,'S2_D1_Factory'!M20,'S2_D2_Factory'!M20,'S2_D3_Factory'!M20)</f>
        <v/>
      </c>
      <c r="AO23" s="2">
        <f>CHOOSE(Inputs!$B$12,'S2_D1_Factory'!N20,'S2_D2_Factory'!N20,'S2_D3_Factory'!N20)</f>
        <v/>
      </c>
      <c r="AP23" s="2">
        <f>SUM(H23,R23,AB23,AL23)</f>
        <v/>
      </c>
      <c r="AQ23" s="2">
        <f>SUM(I23,S23,AC23,AM23)</f>
        <v/>
      </c>
      <c r="AR23" s="2">
        <f>SUM(J23,T23,AD23,AN23)</f>
        <v/>
      </c>
      <c r="AS23" s="2">
        <f>AS22+AR23</f>
        <v/>
      </c>
    </row>
    <row r="24">
      <c r="A24" s="2" t="n">
        <v>20</v>
      </c>
      <c r="B24" s="2">
        <f>CHOOSE(Inputs!$B$12,'S2_D1_Retailer'!C21,'S2_D2_Retailer'!C21,'S2_D3_Retailer'!C21)</f>
        <v/>
      </c>
      <c r="C24" s="2">
        <f>CHOOSE(Inputs!$B$12,'S2_D1_Retailer'!D21,'S2_D2_Retailer'!D21,'S2_D3_Retailer'!D21)</f>
        <v/>
      </c>
      <c r="D24" s="2">
        <f>CHOOSE(Inputs!$B$12,'S2_D1_Retailer'!H21,'S2_D2_Retailer'!H21,'S2_D3_Retailer'!H21)</f>
        <v/>
      </c>
      <c r="E24" s="2">
        <f>CHOOSE(Inputs!$B$12,'S2_D1_Retailer'!I21,'S2_D2_Retailer'!I21,'S2_D3_Retailer'!I21)</f>
        <v/>
      </c>
      <c r="F24" s="2">
        <f>CHOOSE(Inputs!$B$12,'S2_D1_Retailer'!J21,'S2_D2_Retailer'!J21,'S2_D3_Retailer'!J21)</f>
        <v/>
      </c>
      <c r="G24" s="2">
        <f>CHOOSE(Inputs!$B$12,'S2_D1_Retailer'!P21,'S2_D2_Retailer'!P21,'S2_D3_Retailer'!P21)</f>
        <v/>
      </c>
      <c r="H24" s="2">
        <f>CHOOSE(Inputs!$B$12,'S2_D1_Retailer'!K21,'S2_D2_Retailer'!K21,'S2_D3_Retailer'!K21)</f>
        <v/>
      </c>
      <c r="I24" s="2">
        <f>CHOOSE(Inputs!$B$12,'S2_D1_Retailer'!L21,'S2_D2_Retailer'!L21,'S2_D3_Retailer'!L21)</f>
        <v/>
      </c>
      <c r="J24" s="2">
        <f>CHOOSE(Inputs!$B$12,'S2_D1_Retailer'!M21,'S2_D2_Retailer'!M21,'S2_D3_Retailer'!M21)</f>
        <v/>
      </c>
      <c r="K24" s="2">
        <f>CHOOSE(Inputs!$B$12,'S2_D1_Retailer'!N21,'S2_D2_Retailer'!N21,'S2_D3_Retailer'!N21)</f>
        <v/>
      </c>
      <c r="L24" s="2">
        <f>CHOOSE(Inputs!$B$12,'S2_D1_Wholesaler'!C21,'S2_D2_Wholesaler'!C21,'S2_D3_Wholesaler'!C21)</f>
        <v/>
      </c>
      <c r="M24" s="2">
        <f>CHOOSE(Inputs!$B$12,'S2_D1_Wholesaler'!D21,'S2_D2_Wholesaler'!D21,'S2_D3_Wholesaler'!D21)</f>
        <v/>
      </c>
      <c r="N24" s="2">
        <f>CHOOSE(Inputs!$B$12,'S2_D1_Wholesaler'!H21,'S2_D2_Wholesaler'!H21,'S2_D3_Wholesaler'!H21)</f>
        <v/>
      </c>
      <c r="O24" s="2">
        <f>CHOOSE(Inputs!$B$12,'S2_D1_Wholesaler'!I21,'S2_D2_Wholesaler'!I21,'S2_D3_Wholesaler'!I21)</f>
        <v/>
      </c>
      <c r="P24" s="2">
        <f>CHOOSE(Inputs!$B$12,'S2_D1_Wholesaler'!J21,'S2_D2_Wholesaler'!J21,'S2_D3_Wholesaler'!J21)</f>
        <v/>
      </c>
      <c r="Q24" s="2">
        <f>CHOOSE(Inputs!$B$12,'S2_D1_Wholesaler'!P21,'S2_D2_Wholesaler'!P21,'S2_D3_Wholesaler'!P21)</f>
        <v/>
      </c>
      <c r="R24" s="2">
        <f>CHOOSE(Inputs!$B$12,'S2_D1_Wholesaler'!K21,'S2_D2_Wholesaler'!K21,'S2_D3_Wholesaler'!K21)</f>
        <v/>
      </c>
      <c r="S24" s="2">
        <f>CHOOSE(Inputs!$B$12,'S2_D1_Wholesaler'!L21,'S2_D2_Wholesaler'!L21,'S2_D3_Wholesaler'!L21)</f>
        <v/>
      </c>
      <c r="T24" s="2">
        <f>CHOOSE(Inputs!$B$12,'S2_D1_Wholesaler'!M21,'S2_D2_Wholesaler'!M21,'S2_D3_Wholesaler'!M21)</f>
        <v/>
      </c>
      <c r="U24" s="2">
        <f>CHOOSE(Inputs!$B$12,'S2_D1_Wholesaler'!N21,'S2_D2_Wholesaler'!N21,'S2_D3_Wholesaler'!N21)</f>
        <v/>
      </c>
      <c r="V24" s="2">
        <f>CHOOSE(Inputs!$B$12,'S2_D1_Distributor'!C21,'S2_D2_Distributor'!C21,'S2_D3_Distributor'!C21)</f>
        <v/>
      </c>
      <c r="W24" s="2">
        <f>CHOOSE(Inputs!$B$12,'S2_D1_Distributor'!D21,'S2_D2_Distributor'!D21,'S2_D3_Distributor'!D21)</f>
        <v/>
      </c>
      <c r="X24" s="2">
        <f>CHOOSE(Inputs!$B$12,'S2_D1_Distributor'!H21,'S2_D2_Distributor'!H21,'S2_D3_Distributor'!H21)</f>
        <v/>
      </c>
      <c r="Y24" s="2">
        <f>CHOOSE(Inputs!$B$12,'S2_D1_Distributor'!I21,'S2_D2_Distributor'!I21,'S2_D3_Distributor'!I21)</f>
        <v/>
      </c>
      <c r="Z24" s="2">
        <f>CHOOSE(Inputs!$B$12,'S2_D1_Distributor'!J21,'S2_D2_Distributor'!J21,'S2_D3_Distributor'!J21)</f>
        <v/>
      </c>
      <c r="AA24" s="2">
        <f>CHOOSE(Inputs!$B$12,'S2_D1_Distributor'!P21,'S2_D2_Distributor'!P21,'S2_D3_Distributor'!P21)</f>
        <v/>
      </c>
      <c r="AB24" s="2">
        <f>CHOOSE(Inputs!$B$12,'S2_D1_Distributor'!K21,'S2_D2_Distributor'!K21,'S2_D3_Distributor'!K21)</f>
        <v/>
      </c>
      <c r="AC24" s="2">
        <f>CHOOSE(Inputs!$B$12,'S2_D1_Distributor'!L21,'S2_D2_Distributor'!L21,'S2_D3_Distributor'!L21)</f>
        <v/>
      </c>
      <c r="AD24" s="2">
        <f>CHOOSE(Inputs!$B$12,'S2_D1_Distributor'!M21,'S2_D2_Distributor'!M21,'S2_D3_Distributor'!M21)</f>
        <v/>
      </c>
      <c r="AE24" s="2">
        <f>CHOOSE(Inputs!$B$12,'S2_D1_Distributor'!N21,'S2_D2_Distributor'!N21,'S2_D3_Distributor'!N21)</f>
        <v/>
      </c>
      <c r="AF24" s="2">
        <f>CHOOSE(Inputs!$B$12,'S2_D1_Factory'!C21,'S2_D2_Factory'!C21,'S2_D3_Factory'!C21)</f>
        <v/>
      </c>
      <c r="AG24" s="2">
        <f>CHOOSE(Inputs!$B$12,'S2_D1_Factory'!D21,'S2_D2_Factory'!D21,'S2_D3_Factory'!D21)</f>
        <v/>
      </c>
      <c r="AH24" s="2">
        <f>CHOOSE(Inputs!$B$12,'S2_D1_Factory'!H21,'S2_D2_Factory'!H21,'S2_D3_Factory'!H21)</f>
        <v/>
      </c>
      <c r="AI24" s="2">
        <f>CHOOSE(Inputs!$B$12,'S2_D1_Factory'!I21,'S2_D2_Factory'!I21,'S2_D3_Factory'!I21)</f>
        <v/>
      </c>
      <c r="AJ24" s="2">
        <f>CHOOSE(Inputs!$B$12,'S2_D1_Factory'!J21,'S2_D2_Factory'!J21,'S2_D3_Factory'!J21)</f>
        <v/>
      </c>
      <c r="AK24" s="2">
        <f>CHOOSE(Inputs!$B$12,'S2_D1_Factory'!P21,'S2_D2_Factory'!P21,'S2_D3_Factory'!P21)</f>
        <v/>
      </c>
      <c r="AL24" s="2">
        <f>CHOOSE(Inputs!$B$12,'S2_D1_Factory'!K21,'S2_D2_Factory'!K21,'S2_D3_Factory'!K21)</f>
        <v/>
      </c>
      <c r="AM24" s="2">
        <f>CHOOSE(Inputs!$B$12,'S2_D1_Factory'!L21,'S2_D2_Factory'!L21,'S2_D3_Factory'!L21)</f>
        <v/>
      </c>
      <c r="AN24" s="2">
        <f>CHOOSE(Inputs!$B$12,'S2_D1_Factory'!M21,'S2_D2_Factory'!M21,'S2_D3_Factory'!M21)</f>
        <v/>
      </c>
      <c r="AO24" s="2">
        <f>CHOOSE(Inputs!$B$12,'S2_D1_Factory'!N21,'S2_D2_Factory'!N21,'S2_D3_Factory'!N21)</f>
        <v/>
      </c>
      <c r="AP24" s="2">
        <f>SUM(H24,R24,AB24,AL24)</f>
        <v/>
      </c>
      <c r="AQ24" s="2">
        <f>SUM(I24,S24,AC24,AM24)</f>
        <v/>
      </c>
      <c r="AR24" s="2">
        <f>SUM(J24,T24,AD24,AN24)</f>
        <v/>
      </c>
      <c r="AS24" s="2">
        <f>AS23+AR24</f>
        <v/>
      </c>
    </row>
    <row r="25">
      <c r="A25" s="2" t="n">
        <v>21</v>
      </c>
      <c r="B25" s="2">
        <f>CHOOSE(Inputs!$B$12,'S2_D1_Retailer'!C22,'S2_D2_Retailer'!C22,'S2_D3_Retailer'!C22)</f>
        <v/>
      </c>
      <c r="C25" s="2">
        <f>CHOOSE(Inputs!$B$12,'S2_D1_Retailer'!D22,'S2_D2_Retailer'!D22,'S2_D3_Retailer'!D22)</f>
        <v/>
      </c>
      <c r="D25" s="2">
        <f>CHOOSE(Inputs!$B$12,'S2_D1_Retailer'!H22,'S2_D2_Retailer'!H22,'S2_D3_Retailer'!H22)</f>
        <v/>
      </c>
      <c r="E25" s="2">
        <f>CHOOSE(Inputs!$B$12,'S2_D1_Retailer'!I22,'S2_D2_Retailer'!I22,'S2_D3_Retailer'!I22)</f>
        <v/>
      </c>
      <c r="F25" s="2">
        <f>CHOOSE(Inputs!$B$12,'S2_D1_Retailer'!J22,'S2_D2_Retailer'!J22,'S2_D3_Retailer'!J22)</f>
        <v/>
      </c>
      <c r="G25" s="2">
        <f>CHOOSE(Inputs!$B$12,'S2_D1_Retailer'!P22,'S2_D2_Retailer'!P22,'S2_D3_Retailer'!P22)</f>
        <v/>
      </c>
      <c r="H25" s="2">
        <f>CHOOSE(Inputs!$B$12,'S2_D1_Retailer'!K22,'S2_D2_Retailer'!K22,'S2_D3_Retailer'!K22)</f>
        <v/>
      </c>
      <c r="I25" s="2">
        <f>CHOOSE(Inputs!$B$12,'S2_D1_Retailer'!L22,'S2_D2_Retailer'!L22,'S2_D3_Retailer'!L22)</f>
        <v/>
      </c>
      <c r="J25" s="2">
        <f>CHOOSE(Inputs!$B$12,'S2_D1_Retailer'!M22,'S2_D2_Retailer'!M22,'S2_D3_Retailer'!M22)</f>
        <v/>
      </c>
      <c r="K25" s="2">
        <f>CHOOSE(Inputs!$B$12,'S2_D1_Retailer'!N22,'S2_D2_Retailer'!N22,'S2_D3_Retailer'!N22)</f>
        <v/>
      </c>
      <c r="L25" s="2">
        <f>CHOOSE(Inputs!$B$12,'S2_D1_Wholesaler'!C22,'S2_D2_Wholesaler'!C22,'S2_D3_Wholesaler'!C22)</f>
        <v/>
      </c>
      <c r="M25" s="2">
        <f>CHOOSE(Inputs!$B$12,'S2_D1_Wholesaler'!D22,'S2_D2_Wholesaler'!D22,'S2_D3_Wholesaler'!D22)</f>
        <v/>
      </c>
      <c r="N25" s="2">
        <f>CHOOSE(Inputs!$B$12,'S2_D1_Wholesaler'!H22,'S2_D2_Wholesaler'!H22,'S2_D3_Wholesaler'!H22)</f>
        <v/>
      </c>
      <c r="O25" s="2">
        <f>CHOOSE(Inputs!$B$12,'S2_D1_Wholesaler'!I22,'S2_D2_Wholesaler'!I22,'S2_D3_Wholesaler'!I22)</f>
        <v/>
      </c>
      <c r="P25" s="2">
        <f>CHOOSE(Inputs!$B$12,'S2_D1_Wholesaler'!J22,'S2_D2_Wholesaler'!J22,'S2_D3_Wholesaler'!J22)</f>
        <v/>
      </c>
      <c r="Q25" s="2">
        <f>CHOOSE(Inputs!$B$12,'S2_D1_Wholesaler'!P22,'S2_D2_Wholesaler'!P22,'S2_D3_Wholesaler'!P22)</f>
        <v/>
      </c>
      <c r="R25" s="2">
        <f>CHOOSE(Inputs!$B$12,'S2_D1_Wholesaler'!K22,'S2_D2_Wholesaler'!K22,'S2_D3_Wholesaler'!K22)</f>
        <v/>
      </c>
      <c r="S25" s="2">
        <f>CHOOSE(Inputs!$B$12,'S2_D1_Wholesaler'!L22,'S2_D2_Wholesaler'!L22,'S2_D3_Wholesaler'!L22)</f>
        <v/>
      </c>
      <c r="T25" s="2">
        <f>CHOOSE(Inputs!$B$12,'S2_D1_Wholesaler'!M22,'S2_D2_Wholesaler'!M22,'S2_D3_Wholesaler'!M22)</f>
        <v/>
      </c>
      <c r="U25" s="2">
        <f>CHOOSE(Inputs!$B$12,'S2_D1_Wholesaler'!N22,'S2_D2_Wholesaler'!N22,'S2_D3_Wholesaler'!N22)</f>
        <v/>
      </c>
      <c r="V25" s="2">
        <f>CHOOSE(Inputs!$B$12,'S2_D1_Distributor'!C22,'S2_D2_Distributor'!C22,'S2_D3_Distributor'!C22)</f>
        <v/>
      </c>
      <c r="W25" s="2">
        <f>CHOOSE(Inputs!$B$12,'S2_D1_Distributor'!D22,'S2_D2_Distributor'!D22,'S2_D3_Distributor'!D22)</f>
        <v/>
      </c>
      <c r="X25" s="2">
        <f>CHOOSE(Inputs!$B$12,'S2_D1_Distributor'!H22,'S2_D2_Distributor'!H22,'S2_D3_Distributor'!H22)</f>
        <v/>
      </c>
      <c r="Y25" s="2">
        <f>CHOOSE(Inputs!$B$12,'S2_D1_Distributor'!I22,'S2_D2_Distributor'!I22,'S2_D3_Distributor'!I22)</f>
        <v/>
      </c>
      <c r="Z25" s="2">
        <f>CHOOSE(Inputs!$B$12,'S2_D1_Distributor'!J22,'S2_D2_Distributor'!J22,'S2_D3_Distributor'!J22)</f>
        <v/>
      </c>
      <c r="AA25" s="2">
        <f>CHOOSE(Inputs!$B$12,'S2_D1_Distributor'!P22,'S2_D2_Distributor'!P22,'S2_D3_Distributor'!P22)</f>
        <v/>
      </c>
      <c r="AB25" s="2">
        <f>CHOOSE(Inputs!$B$12,'S2_D1_Distributor'!K22,'S2_D2_Distributor'!K22,'S2_D3_Distributor'!K22)</f>
        <v/>
      </c>
      <c r="AC25" s="2">
        <f>CHOOSE(Inputs!$B$12,'S2_D1_Distributor'!L22,'S2_D2_Distributor'!L22,'S2_D3_Distributor'!L22)</f>
        <v/>
      </c>
      <c r="AD25" s="2">
        <f>CHOOSE(Inputs!$B$12,'S2_D1_Distributor'!M22,'S2_D2_Distributor'!M22,'S2_D3_Distributor'!M22)</f>
        <v/>
      </c>
      <c r="AE25" s="2">
        <f>CHOOSE(Inputs!$B$12,'S2_D1_Distributor'!N22,'S2_D2_Distributor'!N22,'S2_D3_Distributor'!N22)</f>
        <v/>
      </c>
      <c r="AF25" s="2">
        <f>CHOOSE(Inputs!$B$12,'S2_D1_Factory'!C22,'S2_D2_Factory'!C22,'S2_D3_Factory'!C22)</f>
        <v/>
      </c>
      <c r="AG25" s="2">
        <f>CHOOSE(Inputs!$B$12,'S2_D1_Factory'!D22,'S2_D2_Factory'!D22,'S2_D3_Factory'!D22)</f>
        <v/>
      </c>
      <c r="AH25" s="2">
        <f>CHOOSE(Inputs!$B$12,'S2_D1_Factory'!H22,'S2_D2_Factory'!H22,'S2_D3_Factory'!H22)</f>
        <v/>
      </c>
      <c r="AI25" s="2">
        <f>CHOOSE(Inputs!$B$12,'S2_D1_Factory'!I22,'S2_D2_Factory'!I22,'S2_D3_Factory'!I22)</f>
        <v/>
      </c>
      <c r="AJ25" s="2">
        <f>CHOOSE(Inputs!$B$12,'S2_D1_Factory'!J22,'S2_D2_Factory'!J22,'S2_D3_Factory'!J22)</f>
        <v/>
      </c>
      <c r="AK25" s="2">
        <f>CHOOSE(Inputs!$B$12,'S2_D1_Factory'!P22,'S2_D2_Factory'!P22,'S2_D3_Factory'!P22)</f>
        <v/>
      </c>
      <c r="AL25" s="2">
        <f>CHOOSE(Inputs!$B$12,'S2_D1_Factory'!K22,'S2_D2_Factory'!K22,'S2_D3_Factory'!K22)</f>
        <v/>
      </c>
      <c r="AM25" s="2">
        <f>CHOOSE(Inputs!$B$12,'S2_D1_Factory'!L22,'S2_D2_Factory'!L22,'S2_D3_Factory'!L22)</f>
        <v/>
      </c>
      <c r="AN25" s="2">
        <f>CHOOSE(Inputs!$B$12,'S2_D1_Factory'!M22,'S2_D2_Factory'!M22,'S2_D3_Factory'!M22)</f>
        <v/>
      </c>
      <c r="AO25" s="2">
        <f>CHOOSE(Inputs!$B$12,'S2_D1_Factory'!N22,'S2_D2_Factory'!N22,'S2_D3_Factory'!N22)</f>
        <v/>
      </c>
      <c r="AP25" s="2">
        <f>SUM(H25,R25,AB25,AL25)</f>
        <v/>
      </c>
      <c r="AQ25" s="2">
        <f>SUM(I25,S25,AC25,AM25)</f>
        <v/>
      </c>
      <c r="AR25" s="2">
        <f>SUM(J25,T25,AD25,AN25)</f>
        <v/>
      </c>
      <c r="AS25" s="2">
        <f>AS24+AR25</f>
        <v/>
      </c>
    </row>
    <row r="26">
      <c r="A26" s="2" t="n">
        <v>22</v>
      </c>
      <c r="B26" s="2">
        <f>CHOOSE(Inputs!$B$12,'S2_D1_Retailer'!C23,'S2_D2_Retailer'!C23,'S2_D3_Retailer'!C23)</f>
        <v/>
      </c>
      <c r="C26" s="2">
        <f>CHOOSE(Inputs!$B$12,'S2_D1_Retailer'!D23,'S2_D2_Retailer'!D23,'S2_D3_Retailer'!D23)</f>
        <v/>
      </c>
      <c r="D26" s="2">
        <f>CHOOSE(Inputs!$B$12,'S2_D1_Retailer'!H23,'S2_D2_Retailer'!H23,'S2_D3_Retailer'!H23)</f>
        <v/>
      </c>
      <c r="E26" s="2">
        <f>CHOOSE(Inputs!$B$12,'S2_D1_Retailer'!I23,'S2_D2_Retailer'!I23,'S2_D3_Retailer'!I23)</f>
        <v/>
      </c>
      <c r="F26" s="2">
        <f>CHOOSE(Inputs!$B$12,'S2_D1_Retailer'!J23,'S2_D2_Retailer'!J23,'S2_D3_Retailer'!J23)</f>
        <v/>
      </c>
      <c r="G26" s="2">
        <f>CHOOSE(Inputs!$B$12,'S2_D1_Retailer'!P23,'S2_D2_Retailer'!P23,'S2_D3_Retailer'!P23)</f>
        <v/>
      </c>
      <c r="H26" s="2">
        <f>CHOOSE(Inputs!$B$12,'S2_D1_Retailer'!K23,'S2_D2_Retailer'!K23,'S2_D3_Retailer'!K23)</f>
        <v/>
      </c>
      <c r="I26" s="2">
        <f>CHOOSE(Inputs!$B$12,'S2_D1_Retailer'!L23,'S2_D2_Retailer'!L23,'S2_D3_Retailer'!L23)</f>
        <v/>
      </c>
      <c r="J26" s="2">
        <f>CHOOSE(Inputs!$B$12,'S2_D1_Retailer'!M23,'S2_D2_Retailer'!M23,'S2_D3_Retailer'!M23)</f>
        <v/>
      </c>
      <c r="K26" s="2">
        <f>CHOOSE(Inputs!$B$12,'S2_D1_Retailer'!N23,'S2_D2_Retailer'!N23,'S2_D3_Retailer'!N23)</f>
        <v/>
      </c>
      <c r="L26" s="2">
        <f>CHOOSE(Inputs!$B$12,'S2_D1_Wholesaler'!C23,'S2_D2_Wholesaler'!C23,'S2_D3_Wholesaler'!C23)</f>
        <v/>
      </c>
      <c r="M26" s="2">
        <f>CHOOSE(Inputs!$B$12,'S2_D1_Wholesaler'!D23,'S2_D2_Wholesaler'!D23,'S2_D3_Wholesaler'!D23)</f>
        <v/>
      </c>
      <c r="N26" s="2">
        <f>CHOOSE(Inputs!$B$12,'S2_D1_Wholesaler'!H23,'S2_D2_Wholesaler'!H23,'S2_D3_Wholesaler'!H23)</f>
        <v/>
      </c>
      <c r="O26" s="2">
        <f>CHOOSE(Inputs!$B$12,'S2_D1_Wholesaler'!I23,'S2_D2_Wholesaler'!I23,'S2_D3_Wholesaler'!I23)</f>
        <v/>
      </c>
      <c r="P26" s="2">
        <f>CHOOSE(Inputs!$B$12,'S2_D1_Wholesaler'!J23,'S2_D2_Wholesaler'!J23,'S2_D3_Wholesaler'!J23)</f>
        <v/>
      </c>
      <c r="Q26" s="2">
        <f>CHOOSE(Inputs!$B$12,'S2_D1_Wholesaler'!P23,'S2_D2_Wholesaler'!P23,'S2_D3_Wholesaler'!P23)</f>
        <v/>
      </c>
      <c r="R26" s="2">
        <f>CHOOSE(Inputs!$B$12,'S2_D1_Wholesaler'!K23,'S2_D2_Wholesaler'!K23,'S2_D3_Wholesaler'!K23)</f>
        <v/>
      </c>
      <c r="S26" s="2">
        <f>CHOOSE(Inputs!$B$12,'S2_D1_Wholesaler'!L23,'S2_D2_Wholesaler'!L23,'S2_D3_Wholesaler'!L23)</f>
        <v/>
      </c>
      <c r="T26" s="2">
        <f>CHOOSE(Inputs!$B$12,'S2_D1_Wholesaler'!M23,'S2_D2_Wholesaler'!M23,'S2_D3_Wholesaler'!M23)</f>
        <v/>
      </c>
      <c r="U26" s="2">
        <f>CHOOSE(Inputs!$B$12,'S2_D1_Wholesaler'!N23,'S2_D2_Wholesaler'!N23,'S2_D3_Wholesaler'!N23)</f>
        <v/>
      </c>
      <c r="V26" s="2">
        <f>CHOOSE(Inputs!$B$12,'S2_D1_Distributor'!C23,'S2_D2_Distributor'!C23,'S2_D3_Distributor'!C23)</f>
        <v/>
      </c>
      <c r="W26" s="2">
        <f>CHOOSE(Inputs!$B$12,'S2_D1_Distributor'!D23,'S2_D2_Distributor'!D23,'S2_D3_Distributor'!D23)</f>
        <v/>
      </c>
      <c r="X26" s="2">
        <f>CHOOSE(Inputs!$B$12,'S2_D1_Distributor'!H23,'S2_D2_Distributor'!H23,'S2_D3_Distributor'!H23)</f>
        <v/>
      </c>
      <c r="Y26" s="2">
        <f>CHOOSE(Inputs!$B$12,'S2_D1_Distributor'!I23,'S2_D2_Distributor'!I23,'S2_D3_Distributor'!I23)</f>
        <v/>
      </c>
      <c r="Z26" s="2">
        <f>CHOOSE(Inputs!$B$12,'S2_D1_Distributor'!J23,'S2_D2_Distributor'!J23,'S2_D3_Distributor'!J23)</f>
        <v/>
      </c>
      <c r="AA26" s="2">
        <f>CHOOSE(Inputs!$B$12,'S2_D1_Distributor'!P23,'S2_D2_Distributor'!P23,'S2_D3_Distributor'!P23)</f>
        <v/>
      </c>
      <c r="AB26" s="2">
        <f>CHOOSE(Inputs!$B$12,'S2_D1_Distributor'!K23,'S2_D2_Distributor'!K23,'S2_D3_Distributor'!K23)</f>
        <v/>
      </c>
      <c r="AC26" s="2">
        <f>CHOOSE(Inputs!$B$12,'S2_D1_Distributor'!L23,'S2_D2_Distributor'!L23,'S2_D3_Distributor'!L23)</f>
        <v/>
      </c>
      <c r="AD26" s="2">
        <f>CHOOSE(Inputs!$B$12,'S2_D1_Distributor'!M23,'S2_D2_Distributor'!M23,'S2_D3_Distributor'!M23)</f>
        <v/>
      </c>
      <c r="AE26" s="2">
        <f>CHOOSE(Inputs!$B$12,'S2_D1_Distributor'!N23,'S2_D2_Distributor'!N23,'S2_D3_Distributor'!N23)</f>
        <v/>
      </c>
      <c r="AF26" s="2">
        <f>CHOOSE(Inputs!$B$12,'S2_D1_Factory'!C23,'S2_D2_Factory'!C23,'S2_D3_Factory'!C23)</f>
        <v/>
      </c>
      <c r="AG26" s="2">
        <f>CHOOSE(Inputs!$B$12,'S2_D1_Factory'!D23,'S2_D2_Factory'!D23,'S2_D3_Factory'!D23)</f>
        <v/>
      </c>
      <c r="AH26" s="2">
        <f>CHOOSE(Inputs!$B$12,'S2_D1_Factory'!H23,'S2_D2_Factory'!H23,'S2_D3_Factory'!H23)</f>
        <v/>
      </c>
      <c r="AI26" s="2">
        <f>CHOOSE(Inputs!$B$12,'S2_D1_Factory'!I23,'S2_D2_Factory'!I23,'S2_D3_Factory'!I23)</f>
        <v/>
      </c>
      <c r="AJ26" s="2">
        <f>CHOOSE(Inputs!$B$12,'S2_D1_Factory'!J23,'S2_D2_Factory'!J23,'S2_D3_Factory'!J23)</f>
        <v/>
      </c>
      <c r="AK26" s="2">
        <f>CHOOSE(Inputs!$B$12,'S2_D1_Factory'!P23,'S2_D2_Factory'!P23,'S2_D3_Factory'!P23)</f>
        <v/>
      </c>
      <c r="AL26" s="2">
        <f>CHOOSE(Inputs!$B$12,'S2_D1_Factory'!K23,'S2_D2_Factory'!K23,'S2_D3_Factory'!K23)</f>
        <v/>
      </c>
      <c r="AM26" s="2">
        <f>CHOOSE(Inputs!$B$12,'S2_D1_Factory'!L23,'S2_D2_Factory'!L23,'S2_D3_Factory'!L23)</f>
        <v/>
      </c>
      <c r="AN26" s="2">
        <f>CHOOSE(Inputs!$B$12,'S2_D1_Factory'!M23,'S2_D2_Factory'!M23,'S2_D3_Factory'!M23)</f>
        <v/>
      </c>
      <c r="AO26" s="2">
        <f>CHOOSE(Inputs!$B$12,'S2_D1_Factory'!N23,'S2_D2_Factory'!N23,'S2_D3_Factory'!N23)</f>
        <v/>
      </c>
      <c r="AP26" s="2">
        <f>SUM(H26,R26,AB26,AL26)</f>
        <v/>
      </c>
      <c r="AQ26" s="2">
        <f>SUM(I26,S26,AC26,AM26)</f>
        <v/>
      </c>
      <c r="AR26" s="2">
        <f>SUM(J26,T26,AD26,AN26)</f>
        <v/>
      </c>
      <c r="AS26" s="2">
        <f>AS25+AR26</f>
        <v/>
      </c>
    </row>
    <row r="27">
      <c r="A27" s="2" t="n">
        <v>23</v>
      </c>
      <c r="B27" s="2">
        <f>CHOOSE(Inputs!$B$12,'S2_D1_Retailer'!C24,'S2_D2_Retailer'!C24,'S2_D3_Retailer'!C24)</f>
        <v/>
      </c>
      <c r="C27" s="2">
        <f>CHOOSE(Inputs!$B$12,'S2_D1_Retailer'!D24,'S2_D2_Retailer'!D24,'S2_D3_Retailer'!D24)</f>
        <v/>
      </c>
      <c r="D27" s="2">
        <f>CHOOSE(Inputs!$B$12,'S2_D1_Retailer'!H24,'S2_D2_Retailer'!H24,'S2_D3_Retailer'!H24)</f>
        <v/>
      </c>
      <c r="E27" s="2">
        <f>CHOOSE(Inputs!$B$12,'S2_D1_Retailer'!I24,'S2_D2_Retailer'!I24,'S2_D3_Retailer'!I24)</f>
        <v/>
      </c>
      <c r="F27" s="2">
        <f>CHOOSE(Inputs!$B$12,'S2_D1_Retailer'!J24,'S2_D2_Retailer'!J24,'S2_D3_Retailer'!J24)</f>
        <v/>
      </c>
      <c r="G27" s="2">
        <f>CHOOSE(Inputs!$B$12,'S2_D1_Retailer'!P24,'S2_D2_Retailer'!P24,'S2_D3_Retailer'!P24)</f>
        <v/>
      </c>
      <c r="H27" s="2">
        <f>CHOOSE(Inputs!$B$12,'S2_D1_Retailer'!K24,'S2_D2_Retailer'!K24,'S2_D3_Retailer'!K24)</f>
        <v/>
      </c>
      <c r="I27" s="2">
        <f>CHOOSE(Inputs!$B$12,'S2_D1_Retailer'!L24,'S2_D2_Retailer'!L24,'S2_D3_Retailer'!L24)</f>
        <v/>
      </c>
      <c r="J27" s="2">
        <f>CHOOSE(Inputs!$B$12,'S2_D1_Retailer'!M24,'S2_D2_Retailer'!M24,'S2_D3_Retailer'!M24)</f>
        <v/>
      </c>
      <c r="K27" s="2">
        <f>CHOOSE(Inputs!$B$12,'S2_D1_Retailer'!N24,'S2_D2_Retailer'!N24,'S2_D3_Retailer'!N24)</f>
        <v/>
      </c>
      <c r="L27" s="2">
        <f>CHOOSE(Inputs!$B$12,'S2_D1_Wholesaler'!C24,'S2_D2_Wholesaler'!C24,'S2_D3_Wholesaler'!C24)</f>
        <v/>
      </c>
      <c r="M27" s="2">
        <f>CHOOSE(Inputs!$B$12,'S2_D1_Wholesaler'!D24,'S2_D2_Wholesaler'!D24,'S2_D3_Wholesaler'!D24)</f>
        <v/>
      </c>
      <c r="N27" s="2">
        <f>CHOOSE(Inputs!$B$12,'S2_D1_Wholesaler'!H24,'S2_D2_Wholesaler'!H24,'S2_D3_Wholesaler'!H24)</f>
        <v/>
      </c>
      <c r="O27" s="2">
        <f>CHOOSE(Inputs!$B$12,'S2_D1_Wholesaler'!I24,'S2_D2_Wholesaler'!I24,'S2_D3_Wholesaler'!I24)</f>
        <v/>
      </c>
      <c r="P27" s="2">
        <f>CHOOSE(Inputs!$B$12,'S2_D1_Wholesaler'!J24,'S2_D2_Wholesaler'!J24,'S2_D3_Wholesaler'!J24)</f>
        <v/>
      </c>
      <c r="Q27" s="2">
        <f>CHOOSE(Inputs!$B$12,'S2_D1_Wholesaler'!P24,'S2_D2_Wholesaler'!P24,'S2_D3_Wholesaler'!P24)</f>
        <v/>
      </c>
      <c r="R27" s="2">
        <f>CHOOSE(Inputs!$B$12,'S2_D1_Wholesaler'!K24,'S2_D2_Wholesaler'!K24,'S2_D3_Wholesaler'!K24)</f>
        <v/>
      </c>
      <c r="S27" s="2">
        <f>CHOOSE(Inputs!$B$12,'S2_D1_Wholesaler'!L24,'S2_D2_Wholesaler'!L24,'S2_D3_Wholesaler'!L24)</f>
        <v/>
      </c>
      <c r="T27" s="2">
        <f>CHOOSE(Inputs!$B$12,'S2_D1_Wholesaler'!M24,'S2_D2_Wholesaler'!M24,'S2_D3_Wholesaler'!M24)</f>
        <v/>
      </c>
      <c r="U27" s="2">
        <f>CHOOSE(Inputs!$B$12,'S2_D1_Wholesaler'!N24,'S2_D2_Wholesaler'!N24,'S2_D3_Wholesaler'!N24)</f>
        <v/>
      </c>
      <c r="V27" s="2">
        <f>CHOOSE(Inputs!$B$12,'S2_D1_Distributor'!C24,'S2_D2_Distributor'!C24,'S2_D3_Distributor'!C24)</f>
        <v/>
      </c>
      <c r="W27" s="2">
        <f>CHOOSE(Inputs!$B$12,'S2_D1_Distributor'!D24,'S2_D2_Distributor'!D24,'S2_D3_Distributor'!D24)</f>
        <v/>
      </c>
      <c r="X27" s="2">
        <f>CHOOSE(Inputs!$B$12,'S2_D1_Distributor'!H24,'S2_D2_Distributor'!H24,'S2_D3_Distributor'!H24)</f>
        <v/>
      </c>
      <c r="Y27" s="2">
        <f>CHOOSE(Inputs!$B$12,'S2_D1_Distributor'!I24,'S2_D2_Distributor'!I24,'S2_D3_Distributor'!I24)</f>
        <v/>
      </c>
      <c r="Z27" s="2">
        <f>CHOOSE(Inputs!$B$12,'S2_D1_Distributor'!J24,'S2_D2_Distributor'!J24,'S2_D3_Distributor'!J24)</f>
        <v/>
      </c>
      <c r="AA27" s="2">
        <f>CHOOSE(Inputs!$B$12,'S2_D1_Distributor'!P24,'S2_D2_Distributor'!P24,'S2_D3_Distributor'!P24)</f>
        <v/>
      </c>
      <c r="AB27" s="2">
        <f>CHOOSE(Inputs!$B$12,'S2_D1_Distributor'!K24,'S2_D2_Distributor'!K24,'S2_D3_Distributor'!K24)</f>
        <v/>
      </c>
      <c r="AC27" s="2">
        <f>CHOOSE(Inputs!$B$12,'S2_D1_Distributor'!L24,'S2_D2_Distributor'!L24,'S2_D3_Distributor'!L24)</f>
        <v/>
      </c>
      <c r="AD27" s="2">
        <f>CHOOSE(Inputs!$B$12,'S2_D1_Distributor'!M24,'S2_D2_Distributor'!M24,'S2_D3_Distributor'!M24)</f>
        <v/>
      </c>
      <c r="AE27" s="2">
        <f>CHOOSE(Inputs!$B$12,'S2_D1_Distributor'!N24,'S2_D2_Distributor'!N24,'S2_D3_Distributor'!N24)</f>
        <v/>
      </c>
      <c r="AF27" s="2">
        <f>CHOOSE(Inputs!$B$12,'S2_D1_Factory'!C24,'S2_D2_Factory'!C24,'S2_D3_Factory'!C24)</f>
        <v/>
      </c>
      <c r="AG27" s="2">
        <f>CHOOSE(Inputs!$B$12,'S2_D1_Factory'!D24,'S2_D2_Factory'!D24,'S2_D3_Factory'!D24)</f>
        <v/>
      </c>
      <c r="AH27" s="2">
        <f>CHOOSE(Inputs!$B$12,'S2_D1_Factory'!H24,'S2_D2_Factory'!H24,'S2_D3_Factory'!H24)</f>
        <v/>
      </c>
      <c r="AI27" s="2">
        <f>CHOOSE(Inputs!$B$12,'S2_D1_Factory'!I24,'S2_D2_Factory'!I24,'S2_D3_Factory'!I24)</f>
        <v/>
      </c>
      <c r="AJ27" s="2">
        <f>CHOOSE(Inputs!$B$12,'S2_D1_Factory'!J24,'S2_D2_Factory'!J24,'S2_D3_Factory'!J24)</f>
        <v/>
      </c>
      <c r="AK27" s="2">
        <f>CHOOSE(Inputs!$B$12,'S2_D1_Factory'!P24,'S2_D2_Factory'!P24,'S2_D3_Factory'!P24)</f>
        <v/>
      </c>
      <c r="AL27" s="2">
        <f>CHOOSE(Inputs!$B$12,'S2_D1_Factory'!K24,'S2_D2_Factory'!K24,'S2_D3_Factory'!K24)</f>
        <v/>
      </c>
      <c r="AM27" s="2">
        <f>CHOOSE(Inputs!$B$12,'S2_D1_Factory'!L24,'S2_D2_Factory'!L24,'S2_D3_Factory'!L24)</f>
        <v/>
      </c>
      <c r="AN27" s="2">
        <f>CHOOSE(Inputs!$B$12,'S2_D1_Factory'!M24,'S2_D2_Factory'!M24,'S2_D3_Factory'!M24)</f>
        <v/>
      </c>
      <c r="AO27" s="2">
        <f>CHOOSE(Inputs!$B$12,'S2_D1_Factory'!N24,'S2_D2_Factory'!N24,'S2_D3_Factory'!N24)</f>
        <v/>
      </c>
      <c r="AP27" s="2">
        <f>SUM(H27,R27,AB27,AL27)</f>
        <v/>
      </c>
      <c r="AQ27" s="2">
        <f>SUM(I27,S27,AC27,AM27)</f>
        <v/>
      </c>
      <c r="AR27" s="2">
        <f>SUM(J27,T27,AD27,AN27)</f>
        <v/>
      </c>
      <c r="AS27" s="2">
        <f>AS26+AR27</f>
        <v/>
      </c>
    </row>
    <row r="28">
      <c r="A28" s="2" t="n">
        <v>24</v>
      </c>
      <c r="B28" s="2">
        <f>CHOOSE(Inputs!$B$12,'S2_D1_Retailer'!C25,'S2_D2_Retailer'!C25,'S2_D3_Retailer'!C25)</f>
        <v/>
      </c>
      <c r="C28" s="2">
        <f>CHOOSE(Inputs!$B$12,'S2_D1_Retailer'!D25,'S2_D2_Retailer'!D25,'S2_D3_Retailer'!D25)</f>
        <v/>
      </c>
      <c r="D28" s="2">
        <f>CHOOSE(Inputs!$B$12,'S2_D1_Retailer'!H25,'S2_D2_Retailer'!H25,'S2_D3_Retailer'!H25)</f>
        <v/>
      </c>
      <c r="E28" s="2">
        <f>CHOOSE(Inputs!$B$12,'S2_D1_Retailer'!I25,'S2_D2_Retailer'!I25,'S2_D3_Retailer'!I25)</f>
        <v/>
      </c>
      <c r="F28" s="2">
        <f>CHOOSE(Inputs!$B$12,'S2_D1_Retailer'!J25,'S2_D2_Retailer'!J25,'S2_D3_Retailer'!J25)</f>
        <v/>
      </c>
      <c r="G28" s="2">
        <f>CHOOSE(Inputs!$B$12,'S2_D1_Retailer'!P25,'S2_D2_Retailer'!P25,'S2_D3_Retailer'!P25)</f>
        <v/>
      </c>
      <c r="H28" s="2">
        <f>CHOOSE(Inputs!$B$12,'S2_D1_Retailer'!K25,'S2_D2_Retailer'!K25,'S2_D3_Retailer'!K25)</f>
        <v/>
      </c>
      <c r="I28" s="2">
        <f>CHOOSE(Inputs!$B$12,'S2_D1_Retailer'!L25,'S2_D2_Retailer'!L25,'S2_D3_Retailer'!L25)</f>
        <v/>
      </c>
      <c r="J28" s="2">
        <f>CHOOSE(Inputs!$B$12,'S2_D1_Retailer'!M25,'S2_D2_Retailer'!M25,'S2_D3_Retailer'!M25)</f>
        <v/>
      </c>
      <c r="K28" s="2">
        <f>CHOOSE(Inputs!$B$12,'S2_D1_Retailer'!N25,'S2_D2_Retailer'!N25,'S2_D3_Retailer'!N25)</f>
        <v/>
      </c>
      <c r="L28" s="2">
        <f>CHOOSE(Inputs!$B$12,'S2_D1_Wholesaler'!C25,'S2_D2_Wholesaler'!C25,'S2_D3_Wholesaler'!C25)</f>
        <v/>
      </c>
      <c r="M28" s="2">
        <f>CHOOSE(Inputs!$B$12,'S2_D1_Wholesaler'!D25,'S2_D2_Wholesaler'!D25,'S2_D3_Wholesaler'!D25)</f>
        <v/>
      </c>
      <c r="N28" s="2">
        <f>CHOOSE(Inputs!$B$12,'S2_D1_Wholesaler'!H25,'S2_D2_Wholesaler'!H25,'S2_D3_Wholesaler'!H25)</f>
        <v/>
      </c>
      <c r="O28" s="2">
        <f>CHOOSE(Inputs!$B$12,'S2_D1_Wholesaler'!I25,'S2_D2_Wholesaler'!I25,'S2_D3_Wholesaler'!I25)</f>
        <v/>
      </c>
      <c r="P28" s="2">
        <f>CHOOSE(Inputs!$B$12,'S2_D1_Wholesaler'!J25,'S2_D2_Wholesaler'!J25,'S2_D3_Wholesaler'!J25)</f>
        <v/>
      </c>
      <c r="Q28" s="2">
        <f>CHOOSE(Inputs!$B$12,'S2_D1_Wholesaler'!P25,'S2_D2_Wholesaler'!P25,'S2_D3_Wholesaler'!P25)</f>
        <v/>
      </c>
      <c r="R28" s="2">
        <f>CHOOSE(Inputs!$B$12,'S2_D1_Wholesaler'!K25,'S2_D2_Wholesaler'!K25,'S2_D3_Wholesaler'!K25)</f>
        <v/>
      </c>
      <c r="S28" s="2">
        <f>CHOOSE(Inputs!$B$12,'S2_D1_Wholesaler'!L25,'S2_D2_Wholesaler'!L25,'S2_D3_Wholesaler'!L25)</f>
        <v/>
      </c>
      <c r="T28" s="2">
        <f>CHOOSE(Inputs!$B$12,'S2_D1_Wholesaler'!M25,'S2_D2_Wholesaler'!M25,'S2_D3_Wholesaler'!M25)</f>
        <v/>
      </c>
      <c r="U28" s="2">
        <f>CHOOSE(Inputs!$B$12,'S2_D1_Wholesaler'!N25,'S2_D2_Wholesaler'!N25,'S2_D3_Wholesaler'!N25)</f>
        <v/>
      </c>
      <c r="V28" s="2">
        <f>CHOOSE(Inputs!$B$12,'S2_D1_Distributor'!C25,'S2_D2_Distributor'!C25,'S2_D3_Distributor'!C25)</f>
        <v/>
      </c>
      <c r="W28" s="2">
        <f>CHOOSE(Inputs!$B$12,'S2_D1_Distributor'!D25,'S2_D2_Distributor'!D25,'S2_D3_Distributor'!D25)</f>
        <v/>
      </c>
      <c r="X28" s="2">
        <f>CHOOSE(Inputs!$B$12,'S2_D1_Distributor'!H25,'S2_D2_Distributor'!H25,'S2_D3_Distributor'!H25)</f>
        <v/>
      </c>
      <c r="Y28" s="2">
        <f>CHOOSE(Inputs!$B$12,'S2_D1_Distributor'!I25,'S2_D2_Distributor'!I25,'S2_D3_Distributor'!I25)</f>
        <v/>
      </c>
      <c r="Z28" s="2">
        <f>CHOOSE(Inputs!$B$12,'S2_D1_Distributor'!J25,'S2_D2_Distributor'!J25,'S2_D3_Distributor'!J25)</f>
        <v/>
      </c>
      <c r="AA28" s="2">
        <f>CHOOSE(Inputs!$B$12,'S2_D1_Distributor'!P25,'S2_D2_Distributor'!P25,'S2_D3_Distributor'!P25)</f>
        <v/>
      </c>
      <c r="AB28" s="2">
        <f>CHOOSE(Inputs!$B$12,'S2_D1_Distributor'!K25,'S2_D2_Distributor'!K25,'S2_D3_Distributor'!K25)</f>
        <v/>
      </c>
      <c r="AC28" s="2">
        <f>CHOOSE(Inputs!$B$12,'S2_D1_Distributor'!L25,'S2_D2_Distributor'!L25,'S2_D3_Distributor'!L25)</f>
        <v/>
      </c>
      <c r="AD28" s="2">
        <f>CHOOSE(Inputs!$B$12,'S2_D1_Distributor'!M25,'S2_D2_Distributor'!M25,'S2_D3_Distributor'!M25)</f>
        <v/>
      </c>
      <c r="AE28" s="2">
        <f>CHOOSE(Inputs!$B$12,'S2_D1_Distributor'!N25,'S2_D2_Distributor'!N25,'S2_D3_Distributor'!N25)</f>
        <v/>
      </c>
      <c r="AF28" s="2">
        <f>CHOOSE(Inputs!$B$12,'S2_D1_Factory'!C25,'S2_D2_Factory'!C25,'S2_D3_Factory'!C25)</f>
        <v/>
      </c>
      <c r="AG28" s="2">
        <f>CHOOSE(Inputs!$B$12,'S2_D1_Factory'!D25,'S2_D2_Factory'!D25,'S2_D3_Factory'!D25)</f>
        <v/>
      </c>
      <c r="AH28" s="2">
        <f>CHOOSE(Inputs!$B$12,'S2_D1_Factory'!H25,'S2_D2_Factory'!H25,'S2_D3_Factory'!H25)</f>
        <v/>
      </c>
      <c r="AI28" s="2">
        <f>CHOOSE(Inputs!$B$12,'S2_D1_Factory'!I25,'S2_D2_Factory'!I25,'S2_D3_Factory'!I25)</f>
        <v/>
      </c>
      <c r="AJ28" s="2">
        <f>CHOOSE(Inputs!$B$12,'S2_D1_Factory'!J25,'S2_D2_Factory'!J25,'S2_D3_Factory'!J25)</f>
        <v/>
      </c>
      <c r="AK28" s="2">
        <f>CHOOSE(Inputs!$B$12,'S2_D1_Factory'!P25,'S2_D2_Factory'!P25,'S2_D3_Factory'!P25)</f>
        <v/>
      </c>
      <c r="AL28" s="2">
        <f>CHOOSE(Inputs!$B$12,'S2_D1_Factory'!K25,'S2_D2_Factory'!K25,'S2_D3_Factory'!K25)</f>
        <v/>
      </c>
      <c r="AM28" s="2">
        <f>CHOOSE(Inputs!$B$12,'S2_D1_Factory'!L25,'S2_D2_Factory'!L25,'S2_D3_Factory'!L25)</f>
        <v/>
      </c>
      <c r="AN28" s="2">
        <f>CHOOSE(Inputs!$B$12,'S2_D1_Factory'!M25,'S2_D2_Factory'!M25,'S2_D3_Factory'!M25)</f>
        <v/>
      </c>
      <c r="AO28" s="2">
        <f>CHOOSE(Inputs!$B$12,'S2_D1_Factory'!N25,'S2_D2_Factory'!N25,'S2_D3_Factory'!N25)</f>
        <v/>
      </c>
      <c r="AP28" s="2">
        <f>SUM(H28,R28,AB28,AL28)</f>
        <v/>
      </c>
      <c r="AQ28" s="2">
        <f>SUM(I28,S28,AC28,AM28)</f>
        <v/>
      </c>
      <c r="AR28" s="2">
        <f>SUM(J28,T28,AD28,AN28)</f>
        <v/>
      </c>
      <c r="AS28" s="2">
        <f>AS27+AR28</f>
        <v/>
      </c>
    </row>
    <row r="29">
      <c r="A29" s="2" t="n">
        <v>25</v>
      </c>
      <c r="B29" s="2">
        <f>CHOOSE(Inputs!$B$12,'S2_D1_Retailer'!C26,'S2_D2_Retailer'!C26,'S2_D3_Retailer'!C26)</f>
        <v/>
      </c>
      <c r="C29" s="2">
        <f>CHOOSE(Inputs!$B$12,'S2_D1_Retailer'!D26,'S2_D2_Retailer'!D26,'S2_D3_Retailer'!D26)</f>
        <v/>
      </c>
      <c r="D29" s="2">
        <f>CHOOSE(Inputs!$B$12,'S2_D1_Retailer'!H26,'S2_D2_Retailer'!H26,'S2_D3_Retailer'!H26)</f>
        <v/>
      </c>
      <c r="E29" s="2">
        <f>CHOOSE(Inputs!$B$12,'S2_D1_Retailer'!I26,'S2_D2_Retailer'!I26,'S2_D3_Retailer'!I26)</f>
        <v/>
      </c>
      <c r="F29" s="2">
        <f>CHOOSE(Inputs!$B$12,'S2_D1_Retailer'!J26,'S2_D2_Retailer'!J26,'S2_D3_Retailer'!J26)</f>
        <v/>
      </c>
      <c r="G29" s="2">
        <f>CHOOSE(Inputs!$B$12,'S2_D1_Retailer'!P26,'S2_D2_Retailer'!P26,'S2_D3_Retailer'!P26)</f>
        <v/>
      </c>
      <c r="H29" s="2">
        <f>CHOOSE(Inputs!$B$12,'S2_D1_Retailer'!K26,'S2_D2_Retailer'!K26,'S2_D3_Retailer'!K26)</f>
        <v/>
      </c>
      <c r="I29" s="2">
        <f>CHOOSE(Inputs!$B$12,'S2_D1_Retailer'!L26,'S2_D2_Retailer'!L26,'S2_D3_Retailer'!L26)</f>
        <v/>
      </c>
      <c r="J29" s="2">
        <f>CHOOSE(Inputs!$B$12,'S2_D1_Retailer'!M26,'S2_D2_Retailer'!M26,'S2_D3_Retailer'!M26)</f>
        <v/>
      </c>
      <c r="K29" s="2">
        <f>CHOOSE(Inputs!$B$12,'S2_D1_Retailer'!N26,'S2_D2_Retailer'!N26,'S2_D3_Retailer'!N26)</f>
        <v/>
      </c>
      <c r="L29" s="2">
        <f>CHOOSE(Inputs!$B$12,'S2_D1_Wholesaler'!C26,'S2_D2_Wholesaler'!C26,'S2_D3_Wholesaler'!C26)</f>
        <v/>
      </c>
      <c r="M29" s="2">
        <f>CHOOSE(Inputs!$B$12,'S2_D1_Wholesaler'!D26,'S2_D2_Wholesaler'!D26,'S2_D3_Wholesaler'!D26)</f>
        <v/>
      </c>
      <c r="N29" s="2">
        <f>CHOOSE(Inputs!$B$12,'S2_D1_Wholesaler'!H26,'S2_D2_Wholesaler'!H26,'S2_D3_Wholesaler'!H26)</f>
        <v/>
      </c>
      <c r="O29" s="2">
        <f>CHOOSE(Inputs!$B$12,'S2_D1_Wholesaler'!I26,'S2_D2_Wholesaler'!I26,'S2_D3_Wholesaler'!I26)</f>
        <v/>
      </c>
      <c r="P29" s="2">
        <f>CHOOSE(Inputs!$B$12,'S2_D1_Wholesaler'!J26,'S2_D2_Wholesaler'!J26,'S2_D3_Wholesaler'!J26)</f>
        <v/>
      </c>
      <c r="Q29" s="2">
        <f>CHOOSE(Inputs!$B$12,'S2_D1_Wholesaler'!P26,'S2_D2_Wholesaler'!P26,'S2_D3_Wholesaler'!P26)</f>
        <v/>
      </c>
      <c r="R29" s="2">
        <f>CHOOSE(Inputs!$B$12,'S2_D1_Wholesaler'!K26,'S2_D2_Wholesaler'!K26,'S2_D3_Wholesaler'!K26)</f>
        <v/>
      </c>
      <c r="S29" s="2">
        <f>CHOOSE(Inputs!$B$12,'S2_D1_Wholesaler'!L26,'S2_D2_Wholesaler'!L26,'S2_D3_Wholesaler'!L26)</f>
        <v/>
      </c>
      <c r="T29" s="2">
        <f>CHOOSE(Inputs!$B$12,'S2_D1_Wholesaler'!M26,'S2_D2_Wholesaler'!M26,'S2_D3_Wholesaler'!M26)</f>
        <v/>
      </c>
      <c r="U29" s="2">
        <f>CHOOSE(Inputs!$B$12,'S2_D1_Wholesaler'!N26,'S2_D2_Wholesaler'!N26,'S2_D3_Wholesaler'!N26)</f>
        <v/>
      </c>
      <c r="V29" s="2">
        <f>CHOOSE(Inputs!$B$12,'S2_D1_Distributor'!C26,'S2_D2_Distributor'!C26,'S2_D3_Distributor'!C26)</f>
        <v/>
      </c>
      <c r="W29" s="2">
        <f>CHOOSE(Inputs!$B$12,'S2_D1_Distributor'!D26,'S2_D2_Distributor'!D26,'S2_D3_Distributor'!D26)</f>
        <v/>
      </c>
      <c r="X29" s="2">
        <f>CHOOSE(Inputs!$B$12,'S2_D1_Distributor'!H26,'S2_D2_Distributor'!H26,'S2_D3_Distributor'!H26)</f>
        <v/>
      </c>
      <c r="Y29" s="2">
        <f>CHOOSE(Inputs!$B$12,'S2_D1_Distributor'!I26,'S2_D2_Distributor'!I26,'S2_D3_Distributor'!I26)</f>
        <v/>
      </c>
      <c r="Z29" s="2">
        <f>CHOOSE(Inputs!$B$12,'S2_D1_Distributor'!J26,'S2_D2_Distributor'!J26,'S2_D3_Distributor'!J26)</f>
        <v/>
      </c>
      <c r="AA29" s="2">
        <f>CHOOSE(Inputs!$B$12,'S2_D1_Distributor'!P26,'S2_D2_Distributor'!P26,'S2_D3_Distributor'!P26)</f>
        <v/>
      </c>
      <c r="AB29" s="2">
        <f>CHOOSE(Inputs!$B$12,'S2_D1_Distributor'!K26,'S2_D2_Distributor'!K26,'S2_D3_Distributor'!K26)</f>
        <v/>
      </c>
      <c r="AC29" s="2">
        <f>CHOOSE(Inputs!$B$12,'S2_D1_Distributor'!L26,'S2_D2_Distributor'!L26,'S2_D3_Distributor'!L26)</f>
        <v/>
      </c>
      <c r="AD29" s="2">
        <f>CHOOSE(Inputs!$B$12,'S2_D1_Distributor'!M26,'S2_D2_Distributor'!M26,'S2_D3_Distributor'!M26)</f>
        <v/>
      </c>
      <c r="AE29" s="2">
        <f>CHOOSE(Inputs!$B$12,'S2_D1_Distributor'!N26,'S2_D2_Distributor'!N26,'S2_D3_Distributor'!N26)</f>
        <v/>
      </c>
      <c r="AF29" s="2">
        <f>CHOOSE(Inputs!$B$12,'S2_D1_Factory'!C26,'S2_D2_Factory'!C26,'S2_D3_Factory'!C26)</f>
        <v/>
      </c>
      <c r="AG29" s="2">
        <f>CHOOSE(Inputs!$B$12,'S2_D1_Factory'!D26,'S2_D2_Factory'!D26,'S2_D3_Factory'!D26)</f>
        <v/>
      </c>
      <c r="AH29" s="2">
        <f>CHOOSE(Inputs!$B$12,'S2_D1_Factory'!H26,'S2_D2_Factory'!H26,'S2_D3_Factory'!H26)</f>
        <v/>
      </c>
      <c r="AI29" s="2">
        <f>CHOOSE(Inputs!$B$12,'S2_D1_Factory'!I26,'S2_D2_Factory'!I26,'S2_D3_Factory'!I26)</f>
        <v/>
      </c>
      <c r="AJ29" s="2">
        <f>CHOOSE(Inputs!$B$12,'S2_D1_Factory'!J26,'S2_D2_Factory'!J26,'S2_D3_Factory'!J26)</f>
        <v/>
      </c>
      <c r="AK29" s="2">
        <f>CHOOSE(Inputs!$B$12,'S2_D1_Factory'!P26,'S2_D2_Factory'!P26,'S2_D3_Factory'!P26)</f>
        <v/>
      </c>
      <c r="AL29" s="2">
        <f>CHOOSE(Inputs!$B$12,'S2_D1_Factory'!K26,'S2_D2_Factory'!K26,'S2_D3_Factory'!K26)</f>
        <v/>
      </c>
      <c r="AM29" s="2">
        <f>CHOOSE(Inputs!$B$12,'S2_D1_Factory'!L26,'S2_D2_Factory'!L26,'S2_D3_Factory'!L26)</f>
        <v/>
      </c>
      <c r="AN29" s="2">
        <f>CHOOSE(Inputs!$B$12,'S2_D1_Factory'!M26,'S2_D2_Factory'!M26,'S2_D3_Factory'!M26)</f>
        <v/>
      </c>
      <c r="AO29" s="2">
        <f>CHOOSE(Inputs!$B$12,'S2_D1_Factory'!N26,'S2_D2_Factory'!N26,'S2_D3_Factory'!N26)</f>
        <v/>
      </c>
      <c r="AP29" s="2">
        <f>SUM(H29,R29,AB29,AL29)</f>
        <v/>
      </c>
      <c r="AQ29" s="2">
        <f>SUM(I29,S29,AC29,AM29)</f>
        <v/>
      </c>
      <c r="AR29" s="2">
        <f>SUM(J29,T29,AD29,AN29)</f>
        <v/>
      </c>
      <c r="AS29" s="2">
        <f>AS28+AR29</f>
        <v/>
      </c>
    </row>
    <row r="30">
      <c r="A30" s="2" t="n">
        <v>26</v>
      </c>
      <c r="B30" s="2">
        <f>CHOOSE(Inputs!$B$12,'S2_D1_Retailer'!C27,'S2_D2_Retailer'!C27,'S2_D3_Retailer'!C27)</f>
        <v/>
      </c>
      <c r="C30" s="2">
        <f>CHOOSE(Inputs!$B$12,'S2_D1_Retailer'!D27,'S2_D2_Retailer'!D27,'S2_D3_Retailer'!D27)</f>
        <v/>
      </c>
      <c r="D30" s="2">
        <f>CHOOSE(Inputs!$B$12,'S2_D1_Retailer'!H27,'S2_D2_Retailer'!H27,'S2_D3_Retailer'!H27)</f>
        <v/>
      </c>
      <c r="E30" s="2">
        <f>CHOOSE(Inputs!$B$12,'S2_D1_Retailer'!I27,'S2_D2_Retailer'!I27,'S2_D3_Retailer'!I27)</f>
        <v/>
      </c>
      <c r="F30" s="2">
        <f>CHOOSE(Inputs!$B$12,'S2_D1_Retailer'!J27,'S2_D2_Retailer'!J27,'S2_D3_Retailer'!J27)</f>
        <v/>
      </c>
      <c r="G30" s="2">
        <f>CHOOSE(Inputs!$B$12,'S2_D1_Retailer'!P27,'S2_D2_Retailer'!P27,'S2_D3_Retailer'!P27)</f>
        <v/>
      </c>
      <c r="H30" s="2">
        <f>CHOOSE(Inputs!$B$12,'S2_D1_Retailer'!K27,'S2_D2_Retailer'!K27,'S2_D3_Retailer'!K27)</f>
        <v/>
      </c>
      <c r="I30" s="2">
        <f>CHOOSE(Inputs!$B$12,'S2_D1_Retailer'!L27,'S2_D2_Retailer'!L27,'S2_D3_Retailer'!L27)</f>
        <v/>
      </c>
      <c r="J30" s="2">
        <f>CHOOSE(Inputs!$B$12,'S2_D1_Retailer'!M27,'S2_D2_Retailer'!M27,'S2_D3_Retailer'!M27)</f>
        <v/>
      </c>
      <c r="K30" s="2">
        <f>CHOOSE(Inputs!$B$12,'S2_D1_Retailer'!N27,'S2_D2_Retailer'!N27,'S2_D3_Retailer'!N27)</f>
        <v/>
      </c>
      <c r="L30" s="2">
        <f>CHOOSE(Inputs!$B$12,'S2_D1_Wholesaler'!C27,'S2_D2_Wholesaler'!C27,'S2_D3_Wholesaler'!C27)</f>
        <v/>
      </c>
      <c r="M30" s="2">
        <f>CHOOSE(Inputs!$B$12,'S2_D1_Wholesaler'!D27,'S2_D2_Wholesaler'!D27,'S2_D3_Wholesaler'!D27)</f>
        <v/>
      </c>
      <c r="N30" s="2">
        <f>CHOOSE(Inputs!$B$12,'S2_D1_Wholesaler'!H27,'S2_D2_Wholesaler'!H27,'S2_D3_Wholesaler'!H27)</f>
        <v/>
      </c>
      <c r="O30" s="2">
        <f>CHOOSE(Inputs!$B$12,'S2_D1_Wholesaler'!I27,'S2_D2_Wholesaler'!I27,'S2_D3_Wholesaler'!I27)</f>
        <v/>
      </c>
      <c r="P30" s="2">
        <f>CHOOSE(Inputs!$B$12,'S2_D1_Wholesaler'!J27,'S2_D2_Wholesaler'!J27,'S2_D3_Wholesaler'!J27)</f>
        <v/>
      </c>
      <c r="Q30" s="2">
        <f>CHOOSE(Inputs!$B$12,'S2_D1_Wholesaler'!P27,'S2_D2_Wholesaler'!P27,'S2_D3_Wholesaler'!P27)</f>
        <v/>
      </c>
      <c r="R30" s="2">
        <f>CHOOSE(Inputs!$B$12,'S2_D1_Wholesaler'!K27,'S2_D2_Wholesaler'!K27,'S2_D3_Wholesaler'!K27)</f>
        <v/>
      </c>
      <c r="S30" s="2">
        <f>CHOOSE(Inputs!$B$12,'S2_D1_Wholesaler'!L27,'S2_D2_Wholesaler'!L27,'S2_D3_Wholesaler'!L27)</f>
        <v/>
      </c>
      <c r="T30" s="2">
        <f>CHOOSE(Inputs!$B$12,'S2_D1_Wholesaler'!M27,'S2_D2_Wholesaler'!M27,'S2_D3_Wholesaler'!M27)</f>
        <v/>
      </c>
      <c r="U30" s="2">
        <f>CHOOSE(Inputs!$B$12,'S2_D1_Wholesaler'!N27,'S2_D2_Wholesaler'!N27,'S2_D3_Wholesaler'!N27)</f>
        <v/>
      </c>
      <c r="V30" s="2">
        <f>CHOOSE(Inputs!$B$12,'S2_D1_Distributor'!C27,'S2_D2_Distributor'!C27,'S2_D3_Distributor'!C27)</f>
        <v/>
      </c>
      <c r="W30" s="2">
        <f>CHOOSE(Inputs!$B$12,'S2_D1_Distributor'!D27,'S2_D2_Distributor'!D27,'S2_D3_Distributor'!D27)</f>
        <v/>
      </c>
      <c r="X30" s="2">
        <f>CHOOSE(Inputs!$B$12,'S2_D1_Distributor'!H27,'S2_D2_Distributor'!H27,'S2_D3_Distributor'!H27)</f>
        <v/>
      </c>
      <c r="Y30" s="2">
        <f>CHOOSE(Inputs!$B$12,'S2_D1_Distributor'!I27,'S2_D2_Distributor'!I27,'S2_D3_Distributor'!I27)</f>
        <v/>
      </c>
      <c r="Z30" s="2">
        <f>CHOOSE(Inputs!$B$12,'S2_D1_Distributor'!J27,'S2_D2_Distributor'!J27,'S2_D3_Distributor'!J27)</f>
        <v/>
      </c>
      <c r="AA30" s="2">
        <f>CHOOSE(Inputs!$B$12,'S2_D1_Distributor'!P27,'S2_D2_Distributor'!P27,'S2_D3_Distributor'!P27)</f>
        <v/>
      </c>
      <c r="AB30" s="2">
        <f>CHOOSE(Inputs!$B$12,'S2_D1_Distributor'!K27,'S2_D2_Distributor'!K27,'S2_D3_Distributor'!K27)</f>
        <v/>
      </c>
      <c r="AC30" s="2">
        <f>CHOOSE(Inputs!$B$12,'S2_D1_Distributor'!L27,'S2_D2_Distributor'!L27,'S2_D3_Distributor'!L27)</f>
        <v/>
      </c>
      <c r="AD30" s="2">
        <f>CHOOSE(Inputs!$B$12,'S2_D1_Distributor'!M27,'S2_D2_Distributor'!M27,'S2_D3_Distributor'!M27)</f>
        <v/>
      </c>
      <c r="AE30" s="2">
        <f>CHOOSE(Inputs!$B$12,'S2_D1_Distributor'!N27,'S2_D2_Distributor'!N27,'S2_D3_Distributor'!N27)</f>
        <v/>
      </c>
      <c r="AF30" s="2">
        <f>CHOOSE(Inputs!$B$12,'S2_D1_Factory'!C27,'S2_D2_Factory'!C27,'S2_D3_Factory'!C27)</f>
        <v/>
      </c>
      <c r="AG30" s="2">
        <f>CHOOSE(Inputs!$B$12,'S2_D1_Factory'!D27,'S2_D2_Factory'!D27,'S2_D3_Factory'!D27)</f>
        <v/>
      </c>
      <c r="AH30" s="2">
        <f>CHOOSE(Inputs!$B$12,'S2_D1_Factory'!H27,'S2_D2_Factory'!H27,'S2_D3_Factory'!H27)</f>
        <v/>
      </c>
      <c r="AI30" s="2">
        <f>CHOOSE(Inputs!$B$12,'S2_D1_Factory'!I27,'S2_D2_Factory'!I27,'S2_D3_Factory'!I27)</f>
        <v/>
      </c>
      <c r="AJ30" s="2">
        <f>CHOOSE(Inputs!$B$12,'S2_D1_Factory'!J27,'S2_D2_Factory'!J27,'S2_D3_Factory'!J27)</f>
        <v/>
      </c>
      <c r="AK30" s="2">
        <f>CHOOSE(Inputs!$B$12,'S2_D1_Factory'!P27,'S2_D2_Factory'!P27,'S2_D3_Factory'!P27)</f>
        <v/>
      </c>
      <c r="AL30" s="2">
        <f>CHOOSE(Inputs!$B$12,'S2_D1_Factory'!K27,'S2_D2_Factory'!K27,'S2_D3_Factory'!K27)</f>
        <v/>
      </c>
      <c r="AM30" s="2">
        <f>CHOOSE(Inputs!$B$12,'S2_D1_Factory'!L27,'S2_D2_Factory'!L27,'S2_D3_Factory'!L27)</f>
        <v/>
      </c>
      <c r="AN30" s="2">
        <f>CHOOSE(Inputs!$B$12,'S2_D1_Factory'!M27,'S2_D2_Factory'!M27,'S2_D3_Factory'!M27)</f>
        <v/>
      </c>
      <c r="AO30" s="2">
        <f>CHOOSE(Inputs!$B$12,'S2_D1_Factory'!N27,'S2_D2_Factory'!N27,'S2_D3_Factory'!N27)</f>
        <v/>
      </c>
      <c r="AP30" s="2">
        <f>SUM(H30,R30,AB30,AL30)</f>
        <v/>
      </c>
      <c r="AQ30" s="2">
        <f>SUM(I30,S30,AC30,AM30)</f>
        <v/>
      </c>
      <c r="AR30" s="2">
        <f>SUM(J30,T30,AD30,AN30)</f>
        <v/>
      </c>
      <c r="AS30" s="2">
        <f>AS29+AR30</f>
        <v/>
      </c>
    </row>
    <row r="31">
      <c r="A31" s="2" t="n">
        <v>27</v>
      </c>
      <c r="B31" s="2">
        <f>CHOOSE(Inputs!$B$12,'S2_D1_Retailer'!C28,'S2_D2_Retailer'!C28,'S2_D3_Retailer'!C28)</f>
        <v/>
      </c>
      <c r="C31" s="2">
        <f>CHOOSE(Inputs!$B$12,'S2_D1_Retailer'!D28,'S2_D2_Retailer'!D28,'S2_D3_Retailer'!D28)</f>
        <v/>
      </c>
      <c r="D31" s="2">
        <f>CHOOSE(Inputs!$B$12,'S2_D1_Retailer'!H28,'S2_D2_Retailer'!H28,'S2_D3_Retailer'!H28)</f>
        <v/>
      </c>
      <c r="E31" s="2">
        <f>CHOOSE(Inputs!$B$12,'S2_D1_Retailer'!I28,'S2_D2_Retailer'!I28,'S2_D3_Retailer'!I28)</f>
        <v/>
      </c>
      <c r="F31" s="2">
        <f>CHOOSE(Inputs!$B$12,'S2_D1_Retailer'!J28,'S2_D2_Retailer'!J28,'S2_D3_Retailer'!J28)</f>
        <v/>
      </c>
      <c r="G31" s="2">
        <f>CHOOSE(Inputs!$B$12,'S2_D1_Retailer'!P28,'S2_D2_Retailer'!P28,'S2_D3_Retailer'!P28)</f>
        <v/>
      </c>
      <c r="H31" s="2">
        <f>CHOOSE(Inputs!$B$12,'S2_D1_Retailer'!K28,'S2_D2_Retailer'!K28,'S2_D3_Retailer'!K28)</f>
        <v/>
      </c>
      <c r="I31" s="2">
        <f>CHOOSE(Inputs!$B$12,'S2_D1_Retailer'!L28,'S2_D2_Retailer'!L28,'S2_D3_Retailer'!L28)</f>
        <v/>
      </c>
      <c r="J31" s="2">
        <f>CHOOSE(Inputs!$B$12,'S2_D1_Retailer'!M28,'S2_D2_Retailer'!M28,'S2_D3_Retailer'!M28)</f>
        <v/>
      </c>
      <c r="K31" s="2">
        <f>CHOOSE(Inputs!$B$12,'S2_D1_Retailer'!N28,'S2_D2_Retailer'!N28,'S2_D3_Retailer'!N28)</f>
        <v/>
      </c>
      <c r="L31" s="2">
        <f>CHOOSE(Inputs!$B$12,'S2_D1_Wholesaler'!C28,'S2_D2_Wholesaler'!C28,'S2_D3_Wholesaler'!C28)</f>
        <v/>
      </c>
      <c r="M31" s="2">
        <f>CHOOSE(Inputs!$B$12,'S2_D1_Wholesaler'!D28,'S2_D2_Wholesaler'!D28,'S2_D3_Wholesaler'!D28)</f>
        <v/>
      </c>
      <c r="N31" s="2">
        <f>CHOOSE(Inputs!$B$12,'S2_D1_Wholesaler'!H28,'S2_D2_Wholesaler'!H28,'S2_D3_Wholesaler'!H28)</f>
        <v/>
      </c>
      <c r="O31" s="2">
        <f>CHOOSE(Inputs!$B$12,'S2_D1_Wholesaler'!I28,'S2_D2_Wholesaler'!I28,'S2_D3_Wholesaler'!I28)</f>
        <v/>
      </c>
      <c r="P31" s="2">
        <f>CHOOSE(Inputs!$B$12,'S2_D1_Wholesaler'!J28,'S2_D2_Wholesaler'!J28,'S2_D3_Wholesaler'!J28)</f>
        <v/>
      </c>
      <c r="Q31" s="2">
        <f>CHOOSE(Inputs!$B$12,'S2_D1_Wholesaler'!P28,'S2_D2_Wholesaler'!P28,'S2_D3_Wholesaler'!P28)</f>
        <v/>
      </c>
      <c r="R31" s="2">
        <f>CHOOSE(Inputs!$B$12,'S2_D1_Wholesaler'!K28,'S2_D2_Wholesaler'!K28,'S2_D3_Wholesaler'!K28)</f>
        <v/>
      </c>
      <c r="S31" s="2">
        <f>CHOOSE(Inputs!$B$12,'S2_D1_Wholesaler'!L28,'S2_D2_Wholesaler'!L28,'S2_D3_Wholesaler'!L28)</f>
        <v/>
      </c>
      <c r="T31" s="2">
        <f>CHOOSE(Inputs!$B$12,'S2_D1_Wholesaler'!M28,'S2_D2_Wholesaler'!M28,'S2_D3_Wholesaler'!M28)</f>
        <v/>
      </c>
      <c r="U31" s="2">
        <f>CHOOSE(Inputs!$B$12,'S2_D1_Wholesaler'!N28,'S2_D2_Wholesaler'!N28,'S2_D3_Wholesaler'!N28)</f>
        <v/>
      </c>
      <c r="V31" s="2">
        <f>CHOOSE(Inputs!$B$12,'S2_D1_Distributor'!C28,'S2_D2_Distributor'!C28,'S2_D3_Distributor'!C28)</f>
        <v/>
      </c>
      <c r="W31" s="2">
        <f>CHOOSE(Inputs!$B$12,'S2_D1_Distributor'!D28,'S2_D2_Distributor'!D28,'S2_D3_Distributor'!D28)</f>
        <v/>
      </c>
      <c r="X31" s="2">
        <f>CHOOSE(Inputs!$B$12,'S2_D1_Distributor'!H28,'S2_D2_Distributor'!H28,'S2_D3_Distributor'!H28)</f>
        <v/>
      </c>
      <c r="Y31" s="2">
        <f>CHOOSE(Inputs!$B$12,'S2_D1_Distributor'!I28,'S2_D2_Distributor'!I28,'S2_D3_Distributor'!I28)</f>
        <v/>
      </c>
      <c r="Z31" s="2">
        <f>CHOOSE(Inputs!$B$12,'S2_D1_Distributor'!J28,'S2_D2_Distributor'!J28,'S2_D3_Distributor'!J28)</f>
        <v/>
      </c>
      <c r="AA31" s="2">
        <f>CHOOSE(Inputs!$B$12,'S2_D1_Distributor'!P28,'S2_D2_Distributor'!P28,'S2_D3_Distributor'!P28)</f>
        <v/>
      </c>
      <c r="AB31" s="2">
        <f>CHOOSE(Inputs!$B$12,'S2_D1_Distributor'!K28,'S2_D2_Distributor'!K28,'S2_D3_Distributor'!K28)</f>
        <v/>
      </c>
      <c r="AC31" s="2">
        <f>CHOOSE(Inputs!$B$12,'S2_D1_Distributor'!L28,'S2_D2_Distributor'!L28,'S2_D3_Distributor'!L28)</f>
        <v/>
      </c>
      <c r="AD31" s="2">
        <f>CHOOSE(Inputs!$B$12,'S2_D1_Distributor'!M28,'S2_D2_Distributor'!M28,'S2_D3_Distributor'!M28)</f>
        <v/>
      </c>
      <c r="AE31" s="2">
        <f>CHOOSE(Inputs!$B$12,'S2_D1_Distributor'!N28,'S2_D2_Distributor'!N28,'S2_D3_Distributor'!N28)</f>
        <v/>
      </c>
      <c r="AF31" s="2">
        <f>CHOOSE(Inputs!$B$12,'S2_D1_Factory'!C28,'S2_D2_Factory'!C28,'S2_D3_Factory'!C28)</f>
        <v/>
      </c>
      <c r="AG31" s="2">
        <f>CHOOSE(Inputs!$B$12,'S2_D1_Factory'!D28,'S2_D2_Factory'!D28,'S2_D3_Factory'!D28)</f>
        <v/>
      </c>
      <c r="AH31" s="2">
        <f>CHOOSE(Inputs!$B$12,'S2_D1_Factory'!H28,'S2_D2_Factory'!H28,'S2_D3_Factory'!H28)</f>
        <v/>
      </c>
      <c r="AI31" s="2">
        <f>CHOOSE(Inputs!$B$12,'S2_D1_Factory'!I28,'S2_D2_Factory'!I28,'S2_D3_Factory'!I28)</f>
        <v/>
      </c>
      <c r="AJ31" s="2">
        <f>CHOOSE(Inputs!$B$12,'S2_D1_Factory'!J28,'S2_D2_Factory'!J28,'S2_D3_Factory'!J28)</f>
        <v/>
      </c>
      <c r="AK31" s="2">
        <f>CHOOSE(Inputs!$B$12,'S2_D1_Factory'!P28,'S2_D2_Factory'!P28,'S2_D3_Factory'!P28)</f>
        <v/>
      </c>
      <c r="AL31" s="2">
        <f>CHOOSE(Inputs!$B$12,'S2_D1_Factory'!K28,'S2_D2_Factory'!K28,'S2_D3_Factory'!K28)</f>
        <v/>
      </c>
      <c r="AM31" s="2">
        <f>CHOOSE(Inputs!$B$12,'S2_D1_Factory'!L28,'S2_D2_Factory'!L28,'S2_D3_Factory'!L28)</f>
        <v/>
      </c>
      <c r="AN31" s="2">
        <f>CHOOSE(Inputs!$B$12,'S2_D1_Factory'!M28,'S2_D2_Factory'!M28,'S2_D3_Factory'!M28)</f>
        <v/>
      </c>
      <c r="AO31" s="2">
        <f>CHOOSE(Inputs!$B$12,'S2_D1_Factory'!N28,'S2_D2_Factory'!N28,'S2_D3_Factory'!N28)</f>
        <v/>
      </c>
      <c r="AP31" s="2">
        <f>SUM(H31,R31,AB31,AL31)</f>
        <v/>
      </c>
      <c r="AQ31" s="2">
        <f>SUM(I31,S31,AC31,AM31)</f>
        <v/>
      </c>
      <c r="AR31" s="2">
        <f>SUM(J31,T31,AD31,AN31)</f>
        <v/>
      </c>
      <c r="AS31" s="2">
        <f>AS30+AR31</f>
        <v/>
      </c>
    </row>
    <row r="32">
      <c r="A32" s="2" t="n">
        <v>28</v>
      </c>
      <c r="B32" s="2">
        <f>CHOOSE(Inputs!$B$12,'S2_D1_Retailer'!C29,'S2_D2_Retailer'!C29,'S2_D3_Retailer'!C29)</f>
        <v/>
      </c>
      <c r="C32" s="2">
        <f>CHOOSE(Inputs!$B$12,'S2_D1_Retailer'!D29,'S2_D2_Retailer'!D29,'S2_D3_Retailer'!D29)</f>
        <v/>
      </c>
      <c r="D32" s="2">
        <f>CHOOSE(Inputs!$B$12,'S2_D1_Retailer'!H29,'S2_D2_Retailer'!H29,'S2_D3_Retailer'!H29)</f>
        <v/>
      </c>
      <c r="E32" s="2">
        <f>CHOOSE(Inputs!$B$12,'S2_D1_Retailer'!I29,'S2_D2_Retailer'!I29,'S2_D3_Retailer'!I29)</f>
        <v/>
      </c>
      <c r="F32" s="2">
        <f>CHOOSE(Inputs!$B$12,'S2_D1_Retailer'!J29,'S2_D2_Retailer'!J29,'S2_D3_Retailer'!J29)</f>
        <v/>
      </c>
      <c r="G32" s="2">
        <f>CHOOSE(Inputs!$B$12,'S2_D1_Retailer'!P29,'S2_D2_Retailer'!P29,'S2_D3_Retailer'!P29)</f>
        <v/>
      </c>
      <c r="H32" s="2">
        <f>CHOOSE(Inputs!$B$12,'S2_D1_Retailer'!K29,'S2_D2_Retailer'!K29,'S2_D3_Retailer'!K29)</f>
        <v/>
      </c>
      <c r="I32" s="2">
        <f>CHOOSE(Inputs!$B$12,'S2_D1_Retailer'!L29,'S2_D2_Retailer'!L29,'S2_D3_Retailer'!L29)</f>
        <v/>
      </c>
      <c r="J32" s="2">
        <f>CHOOSE(Inputs!$B$12,'S2_D1_Retailer'!M29,'S2_D2_Retailer'!M29,'S2_D3_Retailer'!M29)</f>
        <v/>
      </c>
      <c r="K32" s="2">
        <f>CHOOSE(Inputs!$B$12,'S2_D1_Retailer'!N29,'S2_D2_Retailer'!N29,'S2_D3_Retailer'!N29)</f>
        <v/>
      </c>
      <c r="L32" s="2">
        <f>CHOOSE(Inputs!$B$12,'S2_D1_Wholesaler'!C29,'S2_D2_Wholesaler'!C29,'S2_D3_Wholesaler'!C29)</f>
        <v/>
      </c>
      <c r="M32" s="2">
        <f>CHOOSE(Inputs!$B$12,'S2_D1_Wholesaler'!D29,'S2_D2_Wholesaler'!D29,'S2_D3_Wholesaler'!D29)</f>
        <v/>
      </c>
      <c r="N32" s="2">
        <f>CHOOSE(Inputs!$B$12,'S2_D1_Wholesaler'!H29,'S2_D2_Wholesaler'!H29,'S2_D3_Wholesaler'!H29)</f>
        <v/>
      </c>
      <c r="O32" s="2">
        <f>CHOOSE(Inputs!$B$12,'S2_D1_Wholesaler'!I29,'S2_D2_Wholesaler'!I29,'S2_D3_Wholesaler'!I29)</f>
        <v/>
      </c>
      <c r="P32" s="2">
        <f>CHOOSE(Inputs!$B$12,'S2_D1_Wholesaler'!J29,'S2_D2_Wholesaler'!J29,'S2_D3_Wholesaler'!J29)</f>
        <v/>
      </c>
      <c r="Q32" s="2">
        <f>CHOOSE(Inputs!$B$12,'S2_D1_Wholesaler'!P29,'S2_D2_Wholesaler'!P29,'S2_D3_Wholesaler'!P29)</f>
        <v/>
      </c>
      <c r="R32" s="2">
        <f>CHOOSE(Inputs!$B$12,'S2_D1_Wholesaler'!K29,'S2_D2_Wholesaler'!K29,'S2_D3_Wholesaler'!K29)</f>
        <v/>
      </c>
      <c r="S32" s="2">
        <f>CHOOSE(Inputs!$B$12,'S2_D1_Wholesaler'!L29,'S2_D2_Wholesaler'!L29,'S2_D3_Wholesaler'!L29)</f>
        <v/>
      </c>
      <c r="T32" s="2">
        <f>CHOOSE(Inputs!$B$12,'S2_D1_Wholesaler'!M29,'S2_D2_Wholesaler'!M29,'S2_D3_Wholesaler'!M29)</f>
        <v/>
      </c>
      <c r="U32" s="2">
        <f>CHOOSE(Inputs!$B$12,'S2_D1_Wholesaler'!N29,'S2_D2_Wholesaler'!N29,'S2_D3_Wholesaler'!N29)</f>
        <v/>
      </c>
      <c r="V32" s="2">
        <f>CHOOSE(Inputs!$B$12,'S2_D1_Distributor'!C29,'S2_D2_Distributor'!C29,'S2_D3_Distributor'!C29)</f>
        <v/>
      </c>
      <c r="W32" s="2">
        <f>CHOOSE(Inputs!$B$12,'S2_D1_Distributor'!D29,'S2_D2_Distributor'!D29,'S2_D3_Distributor'!D29)</f>
        <v/>
      </c>
      <c r="X32" s="2">
        <f>CHOOSE(Inputs!$B$12,'S2_D1_Distributor'!H29,'S2_D2_Distributor'!H29,'S2_D3_Distributor'!H29)</f>
        <v/>
      </c>
      <c r="Y32" s="2">
        <f>CHOOSE(Inputs!$B$12,'S2_D1_Distributor'!I29,'S2_D2_Distributor'!I29,'S2_D3_Distributor'!I29)</f>
        <v/>
      </c>
      <c r="Z32" s="2">
        <f>CHOOSE(Inputs!$B$12,'S2_D1_Distributor'!J29,'S2_D2_Distributor'!J29,'S2_D3_Distributor'!J29)</f>
        <v/>
      </c>
      <c r="AA32" s="2">
        <f>CHOOSE(Inputs!$B$12,'S2_D1_Distributor'!P29,'S2_D2_Distributor'!P29,'S2_D3_Distributor'!P29)</f>
        <v/>
      </c>
      <c r="AB32" s="2">
        <f>CHOOSE(Inputs!$B$12,'S2_D1_Distributor'!K29,'S2_D2_Distributor'!K29,'S2_D3_Distributor'!K29)</f>
        <v/>
      </c>
      <c r="AC32" s="2">
        <f>CHOOSE(Inputs!$B$12,'S2_D1_Distributor'!L29,'S2_D2_Distributor'!L29,'S2_D3_Distributor'!L29)</f>
        <v/>
      </c>
      <c r="AD32" s="2">
        <f>CHOOSE(Inputs!$B$12,'S2_D1_Distributor'!M29,'S2_D2_Distributor'!M29,'S2_D3_Distributor'!M29)</f>
        <v/>
      </c>
      <c r="AE32" s="2">
        <f>CHOOSE(Inputs!$B$12,'S2_D1_Distributor'!N29,'S2_D2_Distributor'!N29,'S2_D3_Distributor'!N29)</f>
        <v/>
      </c>
      <c r="AF32" s="2">
        <f>CHOOSE(Inputs!$B$12,'S2_D1_Factory'!C29,'S2_D2_Factory'!C29,'S2_D3_Factory'!C29)</f>
        <v/>
      </c>
      <c r="AG32" s="2">
        <f>CHOOSE(Inputs!$B$12,'S2_D1_Factory'!D29,'S2_D2_Factory'!D29,'S2_D3_Factory'!D29)</f>
        <v/>
      </c>
      <c r="AH32" s="2">
        <f>CHOOSE(Inputs!$B$12,'S2_D1_Factory'!H29,'S2_D2_Factory'!H29,'S2_D3_Factory'!H29)</f>
        <v/>
      </c>
      <c r="AI32" s="2">
        <f>CHOOSE(Inputs!$B$12,'S2_D1_Factory'!I29,'S2_D2_Factory'!I29,'S2_D3_Factory'!I29)</f>
        <v/>
      </c>
      <c r="AJ32" s="2">
        <f>CHOOSE(Inputs!$B$12,'S2_D1_Factory'!J29,'S2_D2_Factory'!J29,'S2_D3_Factory'!J29)</f>
        <v/>
      </c>
      <c r="AK32" s="2">
        <f>CHOOSE(Inputs!$B$12,'S2_D1_Factory'!P29,'S2_D2_Factory'!P29,'S2_D3_Factory'!P29)</f>
        <v/>
      </c>
      <c r="AL32" s="2">
        <f>CHOOSE(Inputs!$B$12,'S2_D1_Factory'!K29,'S2_D2_Factory'!K29,'S2_D3_Factory'!K29)</f>
        <v/>
      </c>
      <c r="AM32" s="2">
        <f>CHOOSE(Inputs!$B$12,'S2_D1_Factory'!L29,'S2_D2_Factory'!L29,'S2_D3_Factory'!L29)</f>
        <v/>
      </c>
      <c r="AN32" s="2">
        <f>CHOOSE(Inputs!$B$12,'S2_D1_Factory'!M29,'S2_D2_Factory'!M29,'S2_D3_Factory'!M29)</f>
        <v/>
      </c>
      <c r="AO32" s="2">
        <f>CHOOSE(Inputs!$B$12,'S2_D1_Factory'!N29,'S2_D2_Factory'!N29,'S2_D3_Factory'!N29)</f>
        <v/>
      </c>
      <c r="AP32" s="2">
        <f>SUM(H32,R32,AB32,AL32)</f>
        <v/>
      </c>
      <c r="AQ32" s="2">
        <f>SUM(I32,S32,AC32,AM32)</f>
        <v/>
      </c>
      <c r="AR32" s="2">
        <f>SUM(J32,T32,AD32,AN32)</f>
        <v/>
      </c>
      <c r="AS32" s="2">
        <f>AS31+AR32</f>
        <v/>
      </c>
    </row>
    <row r="33">
      <c r="A33" s="2" t="n">
        <v>29</v>
      </c>
      <c r="B33" s="2">
        <f>CHOOSE(Inputs!$B$12,'S2_D1_Retailer'!C30,'S2_D2_Retailer'!C30,'S2_D3_Retailer'!C30)</f>
        <v/>
      </c>
      <c r="C33" s="2">
        <f>CHOOSE(Inputs!$B$12,'S2_D1_Retailer'!D30,'S2_D2_Retailer'!D30,'S2_D3_Retailer'!D30)</f>
        <v/>
      </c>
      <c r="D33" s="2">
        <f>CHOOSE(Inputs!$B$12,'S2_D1_Retailer'!H30,'S2_D2_Retailer'!H30,'S2_D3_Retailer'!H30)</f>
        <v/>
      </c>
      <c r="E33" s="2">
        <f>CHOOSE(Inputs!$B$12,'S2_D1_Retailer'!I30,'S2_D2_Retailer'!I30,'S2_D3_Retailer'!I30)</f>
        <v/>
      </c>
      <c r="F33" s="2">
        <f>CHOOSE(Inputs!$B$12,'S2_D1_Retailer'!J30,'S2_D2_Retailer'!J30,'S2_D3_Retailer'!J30)</f>
        <v/>
      </c>
      <c r="G33" s="2">
        <f>CHOOSE(Inputs!$B$12,'S2_D1_Retailer'!P30,'S2_D2_Retailer'!P30,'S2_D3_Retailer'!P30)</f>
        <v/>
      </c>
      <c r="H33" s="2">
        <f>CHOOSE(Inputs!$B$12,'S2_D1_Retailer'!K30,'S2_D2_Retailer'!K30,'S2_D3_Retailer'!K30)</f>
        <v/>
      </c>
      <c r="I33" s="2">
        <f>CHOOSE(Inputs!$B$12,'S2_D1_Retailer'!L30,'S2_D2_Retailer'!L30,'S2_D3_Retailer'!L30)</f>
        <v/>
      </c>
      <c r="J33" s="2">
        <f>CHOOSE(Inputs!$B$12,'S2_D1_Retailer'!M30,'S2_D2_Retailer'!M30,'S2_D3_Retailer'!M30)</f>
        <v/>
      </c>
      <c r="K33" s="2">
        <f>CHOOSE(Inputs!$B$12,'S2_D1_Retailer'!N30,'S2_D2_Retailer'!N30,'S2_D3_Retailer'!N30)</f>
        <v/>
      </c>
      <c r="L33" s="2">
        <f>CHOOSE(Inputs!$B$12,'S2_D1_Wholesaler'!C30,'S2_D2_Wholesaler'!C30,'S2_D3_Wholesaler'!C30)</f>
        <v/>
      </c>
      <c r="M33" s="2">
        <f>CHOOSE(Inputs!$B$12,'S2_D1_Wholesaler'!D30,'S2_D2_Wholesaler'!D30,'S2_D3_Wholesaler'!D30)</f>
        <v/>
      </c>
      <c r="N33" s="2">
        <f>CHOOSE(Inputs!$B$12,'S2_D1_Wholesaler'!H30,'S2_D2_Wholesaler'!H30,'S2_D3_Wholesaler'!H30)</f>
        <v/>
      </c>
      <c r="O33" s="2">
        <f>CHOOSE(Inputs!$B$12,'S2_D1_Wholesaler'!I30,'S2_D2_Wholesaler'!I30,'S2_D3_Wholesaler'!I30)</f>
        <v/>
      </c>
      <c r="P33" s="2">
        <f>CHOOSE(Inputs!$B$12,'S2_D1_Wholesaler'!J30,'S2_D2_Wholesaler'!J30,'S2_D3_Wholesaler'!J30)</f>
        <v/>
      </c>
      <c r="Q33" s="2">
        <f>CHOOSE(Inputs!$B$12,'S2_D1_Wholesaler'!P30,'S2_D2_Wholesaler'!P30,'S2_D3_Wholesaler'!P30)</f>
        <v/>
      </c>
      <c r="R33" s="2">
        <f>CHOOSE(Inputs!$B$12,'S2_D1_Wholesaler'!K30,'S2_D2_Wholesaler'!K30,'S2_D3_Wholesaler'!K30)</f>
        <v/>
      </c>
      <c r="S33" s="2">
        <f>CHOOSE(Inputs!$B$12,'S2_D1_Wholesaler'!L30,'S2_D2_Wholesaler'!L30,'S2_D3_Wholesaler'!L30)</f>
        <v/>
      </c>
      <c r="T33" s="2">
        <f>CHOOSE(Inputs!$B$12,'S2_D1_Wholesaler'!M30,'S2_D2_Wholesaler'!M30,'S2_D3_Wholesaler'!M30)</f>
        <v/>
      </c>
      <c r="U33" s="2">
        <f>CHOOSE(Inputs!$B$12,'S2_D1_Wholesaler'!N30,'S2_D2_Wholesaler'!N30,'S2_D3_Wholesaler'!N30)</f>
        <v/>
      </c>
      <c r="V33" s="2">
        <f>CHOOSE(Inputs!$B$12,'S2_D1_Distributor'!C30,'S2_D2_Distributor'!C30,'S2_D3_Distributor'!C30)</f>
        <v/>
      </c>
      <c r="W33" s="2">
        <f>CHOOSE(Inputs!$B$12,'S2_D1_Distributor'!D30,'S2_D2_Distributor'!D30,'S2_D3_Distributor'!D30)</f>
        <v/>
      </c>
      <c r="X33" s="2">
        <f>CHOOSE(Inputs!$B$12,'S2_D1_Distributor'!H30,'S2_D2_Distributor'!H30,'S2_D3_Distributor'!H30)</f>
        <v/>
      </c>
      <c r="Y33" s="2">
        <f>CHOOSE(Inputs!$B$12,'S2_D1_Distributor'!I30,'S2_D2_Distributor'!I30,'S2_D3_Distributor'!I30)</f>
        <v/>
      </c>
      <c r="Z33" s="2">
        <f>CHOOSE(Inputs!$B$12,'S2_D1_Distributor'!J30,'S2_D2_Distributor'!J30,'S2_D3_Distributor'!J30)</f>
        <v/>
      </c>
      <c r="AA33" s="2">
        <f>CHOOSE(Inputs!$B$12,'S2_D1_Distributor'!P30,'S2_D2_Distributor'!P30,'S2_D3_Distributor'!P30)</f>
        <v/>
      </c>
      <c r="AB33" s="2">
        <f>CHOOSE(Inputs!$B$12,'S2_D1_Distributor'!K30,'S2_D2_Distributor'!K30,'S2_D3_Distributor'!K30)</f>
        <v/>
      </c>
      <c r="AC33" s="2">
        <f>CHOOSE(Inputs!$B$12,'S2_D1_Distributor'!L30,'S2_D2_Distributor'!L30,'S2_D3_Distributor'!L30)</f>
        <v/>
      </c>
      <c r="AD33" s="2">
        <f>CHOOSE(Inputs!$B$12,'S2_D1_Distributor'!M30,'S2_D2_Distributor'!M30,'S2_D3_Distributor'!M30)</f>
        <v/>
      </c>
      <c r="AE33" s="2">
        <f>CHOOSE(Inputs!$B$12,'S2_D1_Distributor'!N30,'S2_D2_Distributor'!N30,'S2_D3_Distributor'!N30)</f>
        <v/>
      </c>
      <c r="AF33" s="2">
        <f>CHOOSE(Inputs!$B$12,'S2_D1_Factory'!C30,'S2_D2_Factory'!C30,'S2_D3_Factory'!C30)</f>
        <v/>
      </c>
      <c r="AG33" s="2">
        <f>CHOOSE(Inputs!$B$12,'S2_D1_Factory'!D30,'S2_D2_Factory'!D30,'S2_D3_Factory'!D30)</f>
        <v/>
      </c>
      <c r="AH33" s="2">
        <f>CHOOSE(Inputs!$B$12,'S2_D1_Factory'!H30,'S2_D2_Factory'!H30,'S2_D3_Factory'!H30)</f>
        <v/>
      </c>
      <c r="AI33" s="2">
        <f>CHOOSE(Inputs!$B$12,'S2_D1_Factory'!I30,'S2_D2_Factory'!I30,'S2_D3_Factory'!I30)</f>
        <v/>
      </c>
      <c r="AJ33" s="2">
        <f>CHOOSE(Inputs!$B$12,'S2_D1_Factory'!J30,'S2_D2_Factory'!J30,'S2_D3_Factory'!J30)</f>
        <v/>
      </c>
      <c r="AK33" s="2">
        <f>CHOOSE(Inputs!$B$12,'S2_D1_Factory'!P30,'S2_D2_Factory'!P30,'S2_D3_Factory'!P30)</f>
        <v/>
      </c>
      <c r="AL33" s="2">
        <f>CHOOSE(Inputs!$B$12,'S2_D1_Factory'!K30,'S2_D2_Factory'!K30,'S2_D3_Factory'!K30)</f>
        <v/>
      </c>
      <c r="AM33" s="2">
        <f>CHOOSE(Inputs!$B$12,'S2_D1_Factory'!L30,'S2_D2_Factory'!L30,'S2_D3_Factory'!L30)</f>
        <v/>
      </c>
      <c r="AN33" s="2">
        <f>CHOOSE(Inputs!$B$12,'S2_D1_Factory'!M30,'S2_D2_Factory'!M30,'S2_D3_Factory'!M30)</f>
        <v/>
      </c>
      <c r="AO33" s="2">
        <f>CHOOSE(Inputs!$B$12,'S2_D1_Factory'!N30,'S2_D2_Factory'!N30,'S2_D3_Factory'!N30)</f>
        <v/>
      </c>
      <c r="AP33" s="2">
        <f>SUM(H33,R33,AB33,AL33)</f>
        <v/>
      </c>
      <c r="AQ33" s="2">
        <f>SUM(I33,S33,AC33,AM33)</f>
        <v/>
      </c>
      <c r="AR33" s="2">
        <f>SUM(J33,T33,AD33,AN33)</f>
        <v/>
      </c>
      <c r="AS33" s="2">
        <f>AS32+AR33</f>
        <v/>
      </c>
    </row>
    <row r="34">
      <c r="A34" s="2" t="n">
        <v>30</v>
      </c>
      <c r="B34" s="2">
        <f>CHOOSE(Inputs!$B$12,'S2_D1_Retailer'!C31,'S2_D2_Retailer'!C31,'S2_D3_Retailer'!C31)</f>
        <v/>
      </c>
      <c r="C34" s="2">
        <f>CHOOSE(Inputs!$B$12,'S2_D1_Retailer'!D31,'S2_D2_Retailer'!D31,'S2_D3_Retailer'!D31)</f>
        <v/>
      </c>
      <c r="D34" s="2">
        <f>CHOOSE(Inputs!$B$12,'S2_D1_Retailer'!H31,'S2_D2_Retailer'!H31,'S2_D3_Retailer'!H31)</f>
        <v/>
      </c>
      <c r="E34" s="2">
        <f>CHOOSE(Inputs!$B$12,'S2_D1_Retailer'!I31,'S2_D2_Retailer'!I31,'S2_D3_Retailer'!I31)</f>
        <v/>
      </c>
      <c r="F34" s="2">
        <f>CHOOSE(Inputs!$B$12,'S2_D1_Retailer'!J31,'S2_D2_Retailer'!J31,'S2_D3_Retailer'!J31)</f>
        <v/>
      </c>
      <c r="G34" s="2">
        <f>CHOOSE(Inputs!$B$12,'S2_D1_Retailer'!P31,'S2_D2_Retailer'!P31,'S2_D3_Retailer'!P31)</f>
        <v/>
      </c>
      <c r="H34" s="2">
        <f>CHOOSE(Inputs!$B$12,'S2_D1_Retailer'!K31,'S2_D2_Retailer'!K31,'S2_D3_Retailer'!K31)</f>
        <v/>
      </c>
      <c r="I34" s="2">
        <f>CHOOSE(Inputs!$B$12,'S2_D1_Retailer'!L31,'S2_D2_Retailer'!L31,'S2_D3_Retailer'!L31)</f>
        <v/>
      </c>
      <c r="J34" s="2">
        <f>CHOOSE(Inputs!$B$12,'S2_D1_Retailer'!M31,'S2_D2_Retailer'!M31,'S2_D3_Retailer'!M31)</f>
        <v/>
      </c>
      <c r="K34" s="2">
        <f>CHOOSE(Inputs!$B$12,'S2_D1_Retailer'!N31,'S2_D2_Retailer'!N31,'S2_D3_Retailer'!N31)</f>
        <v/>
      </c>
      <c r="L34" s="2">
        <f>CHOOSE(Inputs!$B$12,'S2_D1_Wholesaler'!C31,'S2_D2_Wholesaler'!C31,'S2_D3_Wholesaler'!C31)</f>
        <v/>
      </c>
      <c r="M34" s="2">
        <f>CHOOSE(Inputs!$B$12,'S2_D1_Wholesaler'!D31,'S2_D2_Wholesaler'!D31,'S2_D3_Wholesaler'!D31)</f>
        <v/>
      </c>
      <c r="N34" s="2">
        <f>CHOOSE(Inputs!$B$12,'S2_D1_Wholesaler'!H31,'S2_D2_Wholesaler'!H31,'S2_D3_Wholesaler'!H31)</f>
        <v/>
      </c>
      <c r="O34" s="2">
        <f>CHOOSE(Inputs!$B$12,'S2_D1_Wholesaler'!I31,'S2_D2_Wholesaler'!I31,'S2_D3_Wholesaler'!I31)</f>
        <v/>
      </c>
      <c r="P34" s="2">
        <f>CHOOSE(Inputs!$B$12,'S2_D1_Wholesaler'!J31,'S2_D2_Wholesaler'!J31,'S2_D3_Wholesaler'!J31)</f>
        <v/>
      </c>
      <c r="Q34" s="2">
        <f>CHOOSE(Inputs!$B$12,'S2_D1_Wholesaler'!P31,'S2_D2_Wholesaler'!P31,'S2_D3_Wholesaler'!P31)</f>
        <v/>
      </c>
      <c r="R34" s="2">
        <f>CHOOSE(Inputs!$B$12,'S2_D1_Wholesaler'!K31,'S2_D2_Wholesaler'!K31,'S2_D3_Wholesaler'!K31)</f>
        <v/>
      </c>
      <c r="S34" s="2">
        <f>CHOOSE(Inputs!$B$12,'S2_D1_Wholesaler'!L31,'S2_D2_Wholesaler'!L31,'S2_D3_Wholesaler'!L31)</f>
        <v/>
      </c>
      <c r="T34" s="2">
        <f>CHOOSE(Inputs!$B$12,'S2_D1_Wholesaler'!M31,'S2_D2_Wholesaler'!M31,'S2_D3_Wholesaler'!M31)</f>
        <v/>
      </c>
      <c r="U34" s="2">
        <f>CHOOSE(Inputs!$B$12,'S2_D1_Wholesaler'!N31,'S2_D2_Wholesaler'!N31,'S2_D3_Wholesaler'!N31)</f>
        <v/>
      </c>
      <c r="V34" s="2">
        <f>CHOOSE(Inputs!$B$12,'S2_D1_Distributor'!C31,'S2_D2_Distributor'!C31,'S2_D3_Distributor'!C31)</f>
        <v/>
      </c>
      <c r="W34" s="2">
        <f>CHOOSE(Inputs!$B$12,'S2_D1_Distributor'!D31,'S2_D2_Distributor'!D31,'S2_D3_Distributor'!D31)</f>
        <v/>
      </c>
      <c r="X34" s="2">
        <f>CHOOSE(Inputs!$B$12,'S2_D1_Distributor'!H31,'S2_D2_Distributor'!H31,'S2_D3_Distributor'!H31)</f>
        <v/>
      </c>
      <c r="Y34" s="2">
        <f>CHOOSE(Inputs!$B$12,'S2_D1_Distributor'!I31,'S2_D2_Distributor'!I31,'S2_D3_Distributor'!I31)</f>
        <v/>
      </c>
      <c r="Z34" s="2">
        <f>CHOOSE(Inputs!$B$12,'S2_D1_Distributor'!J31,'S2_D2_Distributor'!J31,'S2_D3_Distributor'!J31)</f>
        <v/>
      </c>
      <c r="AA34" s="2">
        <f>CHOOSE(Inputs!$B$12,'S2_D1_Distributor'!P31,'S2_D2_Distributor'!P31,'S2_D3_Distributor'!P31)</f>
        <v/>
      </c>
      <c r="AB34" s="2">
        <f>CHOOSE(Inputs!$B$12,'S2_D1_Distributor'!K31,'S2_D2_Distributor'!K31,'S2_D3_Distributor'!K31)</f>
        <v/>
      </c>
      <c r="AC34" s="2">
        <f>CHOOSE(Inputs!$B$12,'S2_D1_Distributor'!L31,'S2_D2_Distributor'!L31,'S2_D3_Distributor'!L31)</f>
        <v/>
      </c>
      <c r="AD34" s="2">
        <f>CHOOSE(Inputs!$B$12,'S2_D1_Distributor'!M31,'S2_D2_Distributor'!M31,'S2_D3_Distributor'!M31)</f>
        <v/>
      </c>
      <c r="AE34" s="2">
        <f>CHOOSE(Inputs!$B$12,'S2_D1_Distributor'!N31,'S2_D2_Distributor'!N31,'S2_D3_Distributor'!N31)</f>
        <v/>
      </c>
      <c r="AF34" s="2">
        <f>CHOOSE(Inputs!$B$12,'S2_D1_Factory'!C31,'S2_D2_Factory'!C31,'S2_D3_Factory'!C31)</f>
        <v/>
      </c>
      <c r="AG34" s="2">
        <f>CHOOSE(Inputs!$B$12,'S2_D1_Factory'!D31,'S2_D2_Factory'!D31,'S2_D3_Factory'!D31)</f>
        <v/>
      </c>
      <c r="AH34" s="2">
        <f>CHOOSE(Inputs!$B$12,'S2_D1_Factory'!H31,'S2_D2_Factory'!H31,'S2_D3_Factory'!H31)</f>
        <v/>
      </c>
      <c r="AI34" s="2">
        <f>CHOOSE(Inputs!$B$12,'S2_D1_Factory'!I31,'S2_D2_Factory'!I31,'S2_D3_Factory'!I31)</f>
        <v/>
      </c>
      <c r="AJ34" s="2">
        <f>CHOOSE(Inputs!$B$12,'S2_D1_Factory'!J31,'S2_D2_Factory'!J31,'S2_D3_Factory'!J31)</f>
        <v/>
      </c>
      <c r="AK34" s="2">
        <f>CHOOSE(Inputs!$B$12,'S2_D1_Factory'!P31,'S2_D2_Factory'!P31,'S2_D3_Factory'!P31)</f>
        <v/>
      </c>
      <c r="AL34" s="2">
        <f>CHOOSE(Inputs!$B$12,'S2_D1_Factory'!K31,'S2_D2_Factory'!K31,'S2_D3_Factory'!K31)</f>
        <v/>
      </c>
      <c r="AM34" s="2">
        <f>CHOOSE(Inputs!$B$12,'S2_D1_Factory'!L31,'S2_D2_Factory'!L31,'S2_D3_Factory'!L31)</f>
        <v/>
      </c>
      <c r="AN34" s="2">
        <f>CHOOSE(Inputs!$B$12,'S2_D1_Factory'!M31,'S2_D2_Factory'!M31,'S2_D3_Factory'!M31)</f>
        <v/>
      </c>
      <c r="AO34" s="2">
        <f>CHOOSE(Inputs!$B$12,'S2_D1_Factory'!N31,'S2_D2_Factory'!N31,'S2_D3_Factory'!N31)</f>
        <v/>
      </c>
      <c r="AP34" s="2">
        <f>SUM(H34,R34,AB34,AL34)</f>
        <v/>
      </c>
      <c r="AQ34" s="2">
        <f>SUM(I34,S34,AC34,AM34)</f>
        <v/>
      </c>
      <c r="AR34" s="2">
        <f>SUM(J34,T34,AD34,AN34)</f>
        <v/>
      </c>
      <c r="AS34" s="2">
        <f>AS33+AR34</f>
        <v/>
      </c>
    </row>
    <row r="35">
      <c r="A35" s="2" t="n">
        <v>31</v>
      </c>
      <c r="B35" s="2">
        <f>CHOOSE(Inputs!$B$12,'S2_D1_Retailer'!C32,'S2_D2_Retailer'!C32,'S2_D3_Retailer'!C32)</f>
        <v/>
      </c>
      <c r="C35" s="2">
        <f>CHOOSE(Inputs!$B$12,'S2_D1_Retailer'!D32,'S2_D2_Retailer'!D32,'S2_D3_Retailer'!D32)</f>
        <v/>
      </c>
      <c r="D35" s="2">
        <f>CHOOSE(Inputs!$B$12,'S2_D1_Retailer'!H32,'S2_D2_Retailer'!H32,'S2_D3_Retailer'!H32)</f>
        <v/>
      </c>
      <c r="E35" s="2">
        <f>CHOOSE(Inputs!$B$12,'S2_D1_Retailer'!I32,'S2_D2_Retailer'!I32,'S2_D3_Retailer'!I32)</f>
        <v/>
      </c>
      <c r="F35" s="2">
        <f>CHOOSE(Inputs!$B$12,'S2_D1_Retailer'!J32,'S2_D2_Retailer'!J32,'S2_D3_Retailer'!J32)</f>
        <v/>
      </c>
      <c r="G35" s="2">
        <f>CHOOSE(Inputs!$B$12,'S2_D1_Retailer'!P32,'S2_D2_Retailer'!P32,'S2_D3_Retailer'!P32)</f>
        <v/>
      </c>
      <c r="H35" s="2">
        <f>CHOOSE(Inputs!$B$12,'S2_D1_Retailer'!K32,'S2_D2_Retailer'!K32,'S2_D3_Retailer'!K32)</f>
        <v/>
      </c>
      <c r="I35" s="2">
        <f>CHOOSE(Inputs!$B$12,'S2_D1_Retailer'!L32,'S2_D2_Retailer'!L32,'S2_D3_Retailer'!L32)</f>
        <v/>
      </c>
      <c r="J35" s="2">
        <f>CHOOSE(Inputs!$B$12,'S2_D1_Retailer'!M32,'S2_D2_Retailer'!M32,'S2_D3_Retailer'!M32)</f>
        <v/>
      </c>
      <c r="K35" s="2">
        <f>CHOOSE(Inputs!$B$12,'S2_D1_Retailer'!N32,'S2_D2_Retailer'!N32,'S2_D3_Retailer'!N32)</f>
        <v/>
      </c>
      <c r="L35" s="2">
        <f>CHOOSE(Inputs!$B$12,'S2_D1_Wholesaler'!C32,'S2_D2_Wholesaler'!C32,'S2_D3_Wholesaler'!C32)</f>
        <v/>
      </c>
      <c r="M35" s="2">
        <f>CHOOSE(Inputs!$B$12,'S2_D1_Wholesaler'!D32,'S2_D2_Wholesaler'!D32,'S2_D3_Wholesaler'!D32)</f>
        <v/>
      </c>
      <c r="N35" s="2">
        <f>CHOOSE(Inputs!$B$12,'S2_D1_Wholesaler'!H32,'S2_D2_Wholesaler'!H32,'S2_D3_Wholesaler'!H32)</f>
        <v/>
      </c>
      <c r="O35" s="2">
        <f>CHOOSE(Inputs!$B$12,'S2_D1_Wholesaler'!I32,'S2_D2_Wholesaler'!I32,'S2_D3_Wholesaler'!I32)</f>
        <v/>
      </c>
      <c r="P35" s="2">
        <f>CHOOSE(Inputs!$B$12,'S2_D1_Wholesaler'!J32,'S2_D2_Wholesaler'!J32,'S2_D3_Wholesaler'!J32)</f>
        <v/>
      </c>
      <c r="Q35" s="2">
        <f>CHOOSE(Inputs!$B$12,'S2_D1_Wholesaler'!P32,'S2_D2_Wholesaler'!P32,'S2_D3_Wholesaler'!P32)</f>
        <v/>
      </c>
      <c r="R35" s="2">
        <f>CHOOSE(Inputs!$B$12,'S2_D1_Wholesaler'!K32,'S2_D2_Wholesaler'!K32,'S2_D3_Wholesaler'!K32)</f>
        <v/>
      </c>
      <c r="S35" s="2">
        <f>CHOOSE(Inputs!$B$12,'S2_D1_Wholesaler'!L32,'S2_D2_Wholesaler'!L32,'S2_D3_Wholesaler'!L32)</f>
        <v/>
      </c>
      <c r="T35" s="2">
        <f>CHOOSE(Inputs!$B$12,'S2_D1_Wholesaler'!M32,'S2_D2_Wholesaler'!M32,'S2_D3_Wholesaler'!M32)</f>
        <v/>
      </c>
      <c r="U35" s="2">
        <f>CHOOSE(Inputs!$B$12,'S2_D1_Wholesaler'!N32,'S2_D2_Wholesaler'!N32,'S2_D3_Wholesaler'!N32)</f>
        <v/>
      </c>
      <c r="V35" s="2">
        <f>CHOOSE(Inputs!$B$12,'S2_D1_Distributor'!C32,'S2_D2_Distributor'!C32,'S2_D3_Distributor'!C32)</f>
        <v/>
      </c>
      <c r="W35" s="2">
        <f>CHOOSE(Inputs!$B$12,'S2_D1_Distributor'!D32,'S2_D2_Distributor'!D32,'S2_D3_Distributor'!D32)</f>
        <v/>
      </c>
      <c r="X35" s="2">
        <f>CHOOSE(Inputs!$B$12,'S2_D1_Distributor'!H32,'S2_D2_Distributor'!H32,'S2_D3_Distributor'!H32)</f>
        <v/>
      </c>
      <c r="Y35" s="2">
        <f>CHOOSE(Inputs!$B$12,'S2_D1_Distributor'!I32,'S2_D2_Distributor'!I32,'S2_D3_Distributor'!I32)</f>
        <v/>
      </c>
      <c r="Z35" s="2">
        <f>CHOOSE(Inputs!$B$12,'S2_D1_Distributor'!J32,'S2_D2_Distributor'!J32,'S2_D3_Distributor'!J32)</f>
        <v/>
      </c>
      <c r="AA35" s="2">
        <f>CHOOSE(Inputs!$B$12,'S2_D1_Distributor'!P32,'S2_D2_Distributor'!P32,'S2_D3_Distributor'!P32)</f>
        <v/>
      </c>
      <c r="AB35" s="2">
        <f>CHOOSE(Inputs!$B$12,'S2_D1_Distributor'!K32,'S2_D2_Distributor'!K32,'S2_D3_Distributor'!K32)</f>
        <v/>
      </c>
      <c r="AC35" s="2">
        <f>CHOOSE(Inputs!$B$12,'S2_D1_Distributor'!L32,'S2_D2_Distributor'!L32,'S2_D3_Distributor'!L32)</f>
        <v/>
      </c>
      <c r="AD35" s="2">
        <f>CHOOSE(Inputs!$B$12,'S2_D1_Distributor'!M32,'S2_D2_Distributor'!M32,'S2_D3_Distributor'!M32)</f>
        <v/>
      </c>
      <c r="AE35" s="2">
        <f>CHOOSE(Inputs!$B$12,'S2_D1_Distributor'!N32,'S2_D2_Distributor'!N32,'S2_D3_Distributor'!N32)</f>
        <v/>
      </c>
      <c r="AF35" s="2">
        <f>CHOOSE(Inputs!$B$12,'S2_D1_Factory'!C32,'S2_D2_Factory'!C32,'S2_D3_Factory'!C32)</f>
        <v/>
      </c>
      <c r="AG35" s="2">
        <f>CHOOSE(Inputs!$B$12,'S2_D1_Factory'!D32,'S2_D2_Factory'!D32,'S2_D3_Factory'!D32)</f>
        <v/>
      </c>
      <c r="AH35" s="2">
        <f>CHOOSE(Inputs!$B$12,'S2_D1_Factory'!H32,'S2_D2_Factory'!H32,'S2_D3_Factory'!H32)</f>
        <v/>
      </c>
      <c r="AI35" s="2">
        <f>CHOOSE(Inputs!$B$12,'S2_D1_Factory'!I32,'S2_D2_Factory'!I32,'S2_D3_Factory'!I32)</f>
        <v/>
      </c>
      <c r="AJ35" s="2">
        <f>CHOOSE(Inputs!$B$12,'S2_D1_Factory'!J32,'S2_D2_Factory'!J32,'S2_D3_Factory'!J32)</f>
        <v/>
      </c>
      <c r="AK35" s="2">
        <f>CHOOSE(Inputs!$B$12,'S2_D1_Factory'!P32,'S2_D2_Factory'!P32,'S2_D3_Factory'!P32)</f>
        <v/>
      </c>
      <c r="AL35" s="2">
        <f>CHOOSE(Inputs!$B$12,'S2_D1_Factory'!K32,'S2_D2_Factory'!K32,'S2_D3_Factory'!K32)</f>
        <v/>
      </c>
      <c r="AM35" s="2">
        <f>CHOOSE(Inputs!$B$12,'S2_D1_Factory'!L32,'S2_D2_Factory'!L32,'S2_D3_Factory'!L32)</f>
        <v/>
      </c>
      <c r="AN35" s="2">
        <f>CHOOSE(Inputs!$B$12,'S2_D1_Factory'!M32,'S2_D2_Factory'!M32,'S2_D3_Factory'!M32)</f>
        <v/>
      </c>
      <c r="AO35" s="2">
        <f>CHOOSE(Inputs!$B$12,'S2_D1_Factory'!N32,'S2_D2_Factory'!N32,'S2_D3_Factory'!N32)</f>
        <v/>
      </c>
      <c r="AP35" s="2">
        <f>SUM(H35,R35,AB35,AL35)</f>
        <v/>
      </c>
      <c r="AQ35" s="2">
        <f>SUM(I35,S35,AC35,AM35)</f>
        <v/>
      </c>
      <c r="AR35" s="2">
        <f>SUM(J35,T35,AD35,AN35)</f>
        <v/>
      </c>
      <c r="AS35" s="2">
        <f>AS34+AR35</f>
        <v/>
      </c>
    </row>
    <row r="36">
      <c r="A36" s="2" t="n">
        <v>32</v>
      </c>
      <c r="B36" s="2">
        <f>CHOOSE(Inputs!$B$12,'S2_D1_Retailer'!C33,'S2_D2_Retailer'!C33,'S2_D3_Retailer'!C33)</f>
        <v/>
      </c>
      <c r="C36" s="2">
        <f>CHOOSE(Inputs!$B$12,'S2_D1_Retailer'!D33,'S2_D2_Retailer'!D33,'S2_D3_Retailer'!D33)</f>
        <v/>
      </c>
      <c r="D36" s="2">
        <f>CHOOSE(Inputs!$B$12,'S2_D1_Retailer'!H33,'S2_D2_Retailer'!H33,'S2_D3_Retailer'!H33)</f>
        <v/>
      </c>
      <c r="E36" s="2">
        <f>CHOOSE(Inputs!$B$12,'S2_D1_Retailer'!I33,'S2_D2_Retailer'!I33,'S2_D3_Retailer'!I33)</f>
        <v/>
      </c>
      <c r="F36" s="2">
        <f>CHOOSE(Inputs!$B$12,'S2_D1_Retailer'!J33,'S2_D2_Retailer'!J33,'S2_D3_Retailer'!J33)</f>
        <v/>
      </c>
      <c r="G36" s="2">
        <f>CHOOSE(Inputs!$B$12,'S2_D1_Retailer'!P33,'S2_D2_Retailer'!P33,'S2_D3_Retailer'!P33)</f>
        <v/>
      </c>
      <c r="H36" s="2">
        <f>CHOOSE(Inputs!$B$12,'S2_D1_Retailer'!K33,'S2_D2_Retailer'!K33,'S2_D3_Retailer'!K33)</f>
        <v/>
      </c>
      <c r="I36" s="2">
        <f>CHOOSE(Inputs!$B$12,'S2_D1_Retailer'!L33,'S2_D2_Retailer'!L33,'S2_D3_Retailer'!L33)</f>
        <v/>
      </c>
      <c r="J36" s="2">
        <f>CHOOSE(Inputs!$B$12,'S2_D1_Retailer'!M33,'S2_D2_Retailer'!M33,'S2_D3_Retailer'!M33)</f>
        <v/>
      </c>
      <c r="K36" s="2">
        <f>CHOOSE(Inputs!$B$12,'S2_D1_Retailer'!N33,'S2_D2_Retailer'!N33,'S2_D3_Retailer'!N33)</f>
        <v/>
      </c>
      <c r="L36" s="2">
        <f>CHOOSE(Inputs!$B$12,'S2_D1_Wholesaler'!C33,'S2_D2_Wholesaler'!C33,'S2_D3_Wholesaler'!C33)</f>
        <v/>
      </c>
      <c r="M36" s="2">
        <f>CHOOSE(Inputs!$B$12,'S2_D1_Wholesaler'!D33,'S2_D2_Wholesaler'!D33,'S2_D3_Wholesaler'!D33)</f>
        <v/>
      </c>
      <c r="N36" s="2">
        <f>CHOOSE(Inputs!$B$12,'S2_D1_Wholesaler'!H33,'S2_D2_Wholesaler'!H33,'S2_D3_Wholesaler'!H33)</f>
        <v/>
      </c>
      <c r="O36" s="2">
        <f>CHOOSE(Inputs!$B$12,'S2_D1_Wholesaler'!I33,'S2_D2_Wholesaler'!I33,'S2_D3_Wholesaler'!I33)</f>
        <v/>
      </c>
      <c r="P36" s="2">
        <f>CHOOSE(Inputs!$B$12,'S2_D1_Wholesaler'!J33,'S2_D2_Wholesaler'!J33,'S2_D3_Wholesaler'!J33)</f>
        <v/>
      </c>
      <c r="Q36" s="2">
        <f>CHOOSE(Inputs!$B$12,'S2_D1_Wholesaler'!P33,'S2_D2_Wholesaler'!P33,'S2_D3_Wholesaler'!P33)</f>
        <v/>
      </c>
      <c r="R36" s="2">
        <f>CHOOSE(Inputs!$B$12,'S2_D1_Wholesaler'!K33,'S2_D2_Wholesaler'!K33,'S2_D3_Wholesaler'!K33)</f>
        <v/>
      </c>
      <c r="S36" s="2">
        <f>CHOOSE(Inputs!$B$12,'S2_D1_Wholesaler'!L33,'S2_D2_Wholesaler'!L33,'S2_D3_Wholesaler'!L33)</f>
        <v/>
      </c>
      <c r="T36" s="2">
        <f>CHOOSE(Inputs!$B$12,'S2_D1_Wholesaler'!M33,'S2_D2_Wholesaler'!M33,'S2_D3_Wholesaler'!M33)</f>
        <v/>
      </c>
      <c r="U36" s="2">
        <f>CHOOSE(Inputs!$B$12,'S2_D1_Wholesaler'!N33,'S2_D2_Wholesaler'!N33,'S2_D3_Wholesaler'!N33)</f>
        <v/>
      </c>
      <c r="V36" s="2">
        <f>CHOOSE(Inputs!$B$12,'S2_D1_Distributor'!C33,'S2_D2_Distributor'!C33,'S2_D3_Distributor'!C33)</f>
        <v/>
      </c>
      <c r="W36" s="2">
        <f>CHOOSE(Inputs!$B$12,'S2_D1_Distributor'!D33,'S2_D2_Distributor'!D33,'S2_D3_Distributor'!D33)</f>
        <v/>
      </c>
      <c r="X36" s="2">
        <f>CHOOSE(Inputs!$B$12,'S2_D1_Distributor'!H33,'S2_D2_Distributor'!H33,'S2_D3_Distributor'!H33)</f>
        <v/>
      </c>
      <c r="Y36" s="2">
        <f>CHOOSE(Inputs!$B$12,'S2_D1_Distributor'!I33,'S2_D2_Distributor'!I33,'S2_D3_Distributor'!I33)</f>
        <v/>
      </c>
      <c r="Z36" s="2">
        <f>CHOOSE(Inputs!$B$12,'S2_D1_Distributor'!J33,'S2_D2_Distributor'!J33,'S2_D3_Distributor'!J33)</f>
        <v/>
      </c>
      <c r="AA36" s="2">
        <f>CHOOSE(Inputs!$B$12,'S2_D1_Distributor'!P33,'S2_D2_Distributor'!P33,'S2_D3_Distributor'!P33)</f>
        <v/>
      </c>
      <c r="AB36" s="2">
        <f>CHOOSE(Inputs!$B$12,'S2_D1_Distributor'!K33,'S2_D2_Distributor'!K33,'S2_D3_Distributor'!K33)</f>
        <v/>
      </c>
      <c r="AC36" s="2">
        <f>CHOOSE(Inputs!$B$12,'S2_D1_Distributor'!L33,'S2_D2_Distributor'!L33,'S2_D3_Distributor'!L33)</f>
        <v/>
      </c>
      <c r="AD36" s="2">
        <f>CHOOSE(Inputs!$B$12,'S2_D1_Distributor'!M33,'S2_D2_Distributor'!M33,'S2_D3_Distributor'!M33)</f>
        <v/>
      </c>
      <c r="AE36" s="2">
        <f>CHOOSE(Inputs!$B$12,'S2_D1_Distributor'!N33,'S2_D2_Distributor'!N33,'S2_D3_Distributor'!N33)</f>
        <v/>
      </c>
      <c r="AF36" s="2">
        <f>CHOOSE(Inputs!$B$12,'S2_D1_Factory'!C33,'S2_D2_Factory'!C33,'S2_D3_Factory'!C33)</f>
        <v/>
      </c>
      <c r="AG36" s="2">
        <f>CHOOSE(Inputs!$B$12,'S2_D1_Factory'!D33,'S2_D2_Factory'!D33,'S2_D3_Factory'!D33)</f>
        <v/>
      </c>
      <c r="AH36" s="2">
        <f>CHOOSE(Inputs!$B$12,'S2_D1_Factory'!H33,'S2_D2_Factory'!H33,'S2_D3_Factory'!H33)</f>
        <v/>
      </c>
      <c r="AI36" s="2">
        <f>CHOOSE(Inputs!$B$12,'S2_D1_Factory'!I33,'S2_D2_Factory'!I33,'S2_D3_Factory'!I33)</f>
        <v/>
      </c>
      <c r="AJ36" s="2">
        <f>CHOOSE(Inputs!$B$12,'S2_D1_Factory'!J33,'S2_D2_Factory'!J33,'S2_D3_Factory'!J33)</f>
        <v/>
      </c>
      <c r="AK36" s="2">
        <f>CHOOSE(Inputs!$B$12,'S2_D1_Factory'!P33,'S2_D2_Factory'!P33,'S2_D3_Factory'!P33)</f>
        <v/>
      </c>
      <c r="AL36" s="2">
        <f>CHOOSE(Inputs!$B$12,'S2_D1_Factory'!K33,'S2_D2_Factory'!K33,'S2_D3_Factory'!K33)</f>
        <v/>
      </c>
      <c r="AM36" s="2">
        <f>CHOOSE(Inputs!$B$12,'S2_D1_Factory'!L33,'S2_D2_Factory'!L33,'S2_D3_Factory'!L33)</f>
        <v/>
      </c>
      <c r="AN36" s="2">
        <f>CHOOSE(Inputs!$B$12,'S2_D1_Factory'!M33,'S2_D2_Factory'!M33,'S2_D3_Factory'!M33)</f>
        <v/>
      </c>
      <c r="AO36" s="2">
        <f>CHOOSE(Inputs!$B$12,'S2_D1_Factory'!N33,'S2_D2_Factory'!N33,'S2_D3_Factory'!N33)</f>
        <v/>
      </c>
      <c r="AP36" s="2">
        <f>SUM(H36,R36,AB36,AL36)</f>
        <v/>
      </c>
      <c r="AQ36" s="2">
        <f>SUM(I36,S36,AC36,AM36)</f>
        <v/>
      </c>
      <c r="AR36" s="2">
        <f>SUM(J36,T36,AD36,AN36)</f>
        <v/>
      </c>
      <c r="AS36" s="2">
        <f>AS35+AR36</f>
        <v/>
      </c>
    </row>
    <row r="37">
      <c r="A37" s="2" t="n">
        <v>33</v>
      </c>
      <c r="B37" s="2">
        <f>CHOOSE(Inputs!$B$12,'S2_D1_Retailer'!C34,'S2_D2_Retailer'!C34,'S2_D3_Retailer'!C34)</f>
        <v/>
      </c>
      <c r="C37" s="2">
        <f>CHOOSE(Inputs!$B$12,'S2_D1_Retailer'!D34,'S2_D2_Retailer'!D34,'S2_D3_Retailer'!D34)</f>
        <v/>
      </c>
      <c r="D37" s="2">
        <f>CHOOSE(Inputs!$B$12,'S2_D1_Retailer'!H34,'S2_D2_Retailer'!H34,'S2_D3_Retailer'!H34)</f>
        <v/>
      </c>
      <c r="E37" s="2">
        <f>CHOOSE(Inputs!$B$12,'S2_D1_Retailer'!I34,'S2_D2_Retailer'!I34,'S2_D3_Retailer'!I34)</f>
        <v/>
      </c>
      <c r="F37" s="2">
        <f>CHOOSE(Inputs!$B$12,'S2_D1_Retailer'!J34,'S2_D2_Retailer'!J34,'S2_D3_Retailer'!J34)</f>
        <v/>
      </c>
      <c r="G37" s="2">
        <f>CHOOSE(Inputs!$B$12,'S2_D1_Retailer'!P34,'S2_D2_Retailer'!P34,'S2_D3_Retailer'!P34)</f>
        <v/>
      </c>
      <c r="H37" s="2">
        <f>CHOOSE(Inputs!$B$12,'S2_D1_Retailer'!K34,'S2_D2_Retailer'!K34,'S2_D3_Retailer'!K34)</f>
        <v/>
      </c>
      <c r="I37" s="2">
        <f>CHOOSE(Inputs!$B$12,'S2_D1_Retailer'!L34,'S2_D2_Retailer'!L34,'S2_D3_Retailer'!L34)</f>
        <v/>
      </c>
      <c r="J37" s="2">
        <f>CHOOSE(Inputs!$B$12,'S2_D1_Retailer'!M34,'S2_D2_Retailer'!M34,'S2_D3_Retailer'!M34)</f>
        <v/>
      </c>
      <c r="K37" s="2">
        <f>CHOOSE(Inputs!$B$12,'S2_D1_Retailer'!N34,'S2_D2_Retailer'!N34,'S2_D3_Retailer'!N34)</f>
        <v/>
      </c>
      <c r="L37" s="2">
        <f>CHOOSE(Inputs!$B$12,'S2_D1_Wholesaler'!C34,'S2_D2_Wholesaler'!C34,'S2_D3_Wholesaler'!C34)</f>
        <v/>
      </c>
      <c r="M37" s="2">
        <f>CHOOSE(Inputs!$B$12,'S2_D1_Wholesaler'!D34,'S2_D2_Wholesaler'!D34,'S2_D3_Wholesaler'!D34)</f>
        <v/>
      </c>
      <c r="N37" s="2">
        <f>CHOOSE(Inputs!$B$12,'S2_D1_Wholesaler'!H34,'S2_D2_Wholesaler'!H34,'S2_D3_Wholesaler'!H34)</f>
        <v/>
      </c>
      <c r="O37" s="2">
        <f>CHOOSE(Inputs!$B$12,'S2_D1_Wholesaler'!I34,'S2_D2_Wholesaler'!I34,'S2_D3_Wholesaler'!I34)</f>
        <v/>
      </c>
      <c r="P37" s="2">
        <f>CHOOSE(Inputs!$B$12,'S2_D1_Wholesaler'!J34,'S2_D2_Wholesaler'!J34,'S2_D3_Wholesaler'!J34)</f>
        <v/>
      </c>
      <c r="Q37" s="2">
        <f>CHOOSE(Inputs!$B$12,'S2_D1_Wholesaler'!P34,'S2_D2_Wholesaler'!P34,'S2_D3_Wholesaler'!P34)</f>
        <v/>
      </c>
      <c r="R37" s="2">
        <f>CHOOSE(Inputs!$B$12,'S2_D1_Wholesaler'!K34,'S2_D2_Wholesaler'!K34,'S2_D3_Wholesaler'!K34)</f>
        <v/>
      </c>
      <c r="S37" s="2">
        <f>CHOOSE(Inputs!$B$12,'S2_D1_Wholesaler'!L34,'S2_D2_Wholesaler'!L34,'S2_D3_Wholesaler'!L34)</f>
        <v/>
      </c>
      <c r="T37" s="2">
        <f>CHOOSE(Inputs!$B$12,'S2_D1_Wholesaler'!M34,'S2_D2_Wholesaler'!M34,'S2_D3_Wholesaler'!M34)</f>
        <v/>
      </c>
      <c r="U37" s="2">
        <f>CHOOSE(Inputs!$B$12,'S2_D1_Wholesaler'!N34,'S2_D2_Wholesaler'!N34,'S2_D3_Wholesaler'!N34)</f>
        <v/>
      </c>
      <c r="V37" s="2">
        <f>CHOOSE(Inputs!$B$12,'S2_D1_Distributor'!C34,'S2_D2_Distributor'!C34,'S2_D3_Distributor'!C34)</f>
        <v/>
      </c>
      <c r="W37" s="2">
        <f>CHOOSE(Inputs!$B$12,'S2_D1_Distributor'!D34,'S2_D2_Distributor'!D34,'S2_D3_Distributor'!D34)</f>
        <v/>
      </c>
      <c r="X37" s="2">
        <f>CHOOSE(Inputs!$B$12,'S2_D1_Distributor'!H34,'S2_D2_Distributor'!H34,'S2_D3_Distributor'!H34)</f>
        <v/>
      </c>
      <c r="Y37" s="2">
        <f>CHOOSE(Inputs!$B$12,'S2_D1_Distributor'!I34,'S2_D2_Distributor'!I34,'S2_D3_Distributor'!I34)</f>
        <v/>
      </c>
      <c r="Z37" s="2">
        <f>CHOOSE(Inputs!$B$12,'S2_D1_Distributor'!J34,'S2_D2_Distributor'!J34,'S2_D3_Distributor'!J34)</f>
        <v/>
      </c>
      <c r="AA37" s="2">
        <f>CHOOSE(Inputs!$B$12,'S2_D1_Distributor'!P34,'S2_D2_Distributor'!P34,'S2_D3_Distributor'!P34)</f>
        <v/>
      </c>
      <c r="AB37" s="2">
        <f>CHOOSE(Inputs!$B$12,'S2_D1_Distributor'!K34,'S2_D2_Distributor'!K34,'S2_D3_Distributor'!K34)</f>
        <v/>
      </c>
      <c r="AC37" s="2">
        <f>CHOOSE(Inputs!$B$12,'S2_D1_Distributor'!L34,'S2_D2_Distributor'!L34,'S2_D3_Distributor'!L34)</f>
        <v/>
      </c>
      <c r="AD37" s="2">
        <f>CHOOSE(Inputs!$B$12,'S2_D1_Distributor'!M34,'S2_D2_Distributor'!M34,'S2_D3_Distributor'!M34)</f>
        <v/>
      </c>
      <c r="AE37" s="2">
        <f>CHOOSE(Inputs!$B$12,'S2_D1_Distributor'!N34,'S2_D2_Distributor'!N34,'S2_D3_Distributor'!N34)</f>
        <v/>
      </c>
      <c r="AF37" s="2">
        <f>CHOOSE(Inputs!$B$12,'S2_D1_Factory'!C34,'S2_D2_Factory'!C34,'S2_D3_Factory'!C34)</f>
        <v/>
      </c>
      <c r="AG37" s="2">
        <f>CHOOSE(Inputs!$B$12,'S2_D1_Factory'!D34,'S2_D2_Factory'!D34,'S2_D3_Factory'!D34)</f>
        <v/>
      </c>
      <c r="AH37" s="2">
        <f>CHOOSE(Inputs!$B$12,'S2_D1_Factory'!H34,'S2_D2_Factory'!H34,'S2_D3_Factory'!H34)</f>
        <v/>
      </c>
      <c r="AI37" s="2">
        <f>CHOOSE(Inputs!$B$12,'S2_D1_Factory'!I34,'S2_D2_Factory'!I34,'S2_D3_Factory'!I34)</f>
        <v/>
      </c>
      <c r="AJ37" s="2">
        <f>CHOOSE(Inputs!$B$12,'S2_D1_Factory'!J34,'S2_D2_Factory'!J34,'S2_D3_Factory'!J34)</f>
        <v/>
      </c>
      <c r="AK37" s="2">
        <f>CHOOSE(Inputs!$B$12,'S2_D1_Factory'!P34,'S2_D2_Factory'!P34,'S2_D3_Factory'!P34)</f>
        <v/>
      </c>
      <c r="AL37" s="2">
        <f>CHOOSE(Inputs!$B$12,'S2_D1_Factory'!K34,'S2_D2_Factory'!K34,'S2_D3_Factory'!K34)</f>
        <v/>
      </c>
      <c r="AM37" s="2">
        <f>CHOOSE(Inputs!$B$12,'S2_D1_Factory'!L34,'S2_D2_Factory'!L34,'S2_D3_Factory'!L34)</f>
        <v/>
      </c>
      <c r="AN37" s="2">
        <f>CHOOSE(Inputs!$B$12,'S2_D1_Factory'!M34,'S2_D2_Factory'!M34,'S2_D3_Factory'!M34)</f>
        <v/>
      </c>
      <c r="AO37" s="2">
        <f>CHOOSE(Inputs!$B$12,'S2_D1_Factory'!N34,'S2_D2_Factory'!N34,'S2_D3_Factory'!N34)</f>
        <v/>
      </c>
      <c r="AP37" s="2">
        <f>SUM(H37,R37,AB37,AL37)</f>
        <v/>
      </c>
      <c r="AQ37" s="2">
        <f>SUM(I37,S37,AC37,AM37)</f>
        <v/>
      </c>
      <c r="AR37" s="2">
        <f>SUM(J37,T37,AD37,AN37)</f>
        <v/>
      </c>
      <c r="AS37" s="2">
        <f>AS36+AR37</f>
        <v/>
      </c>
    </row>
    <row r="38">
      <c r="A38" s="2" t="n">
        <v>34</v>
      </c>
      <c r="B38" s="2">
        <f>CHOOSE(Inputs!$B$12,'S2_D1_Retailer'!C35,'S2_D2_Retailer'!C35,'S2_D3_Retailer'!C35)</f>
        <v/>
      </c>
      <c r="C38" s="2">
        <f>CHOOSE(Inputs!$B$12,'S2_D1_Retailer'!D35,'S2_D2_Retailer'!D35,'S2_D3_Retailer'!D35)</f>
        <v/>
      </c>
      <c r="D38" s="2">
        <f>CHOOSE(Inputs!$B$12,'S2_D1_Retailer'!H35,'S2_D2_Retailer'!H35,'S2_D3_Retailer'!H35)</f>
        <v/>
      </c>
      <c r="E38" s="2">
        <f>CHOOSE(Inputs!$B$12,'S2_D1_Retailer'!I35,'S2_D2_Retailer'!I35,'S2_D3_Retailer'!I35)</f>
        <v/>
      </c>
      <c r="F38" s="2">
        <f>CHOOSE(Inputs!$B$12,'S2_D1_Retailer'!J35,'S2_D2_Retailer'!J35,'S2_D3_Retailer'!J35)</f>
        <v/>
      </c>
      <c r="G38" s="2">
        <f>CHOOSE(Inputs!$B$12,'S2_D1_Retailer'!P35,'S2_D2_Retailer'!P35,'S2_D3_Retailer'!P35)</f>
        <v/>
      </c>
      <c r="H38" s="2">
        <f>CHOOSE(Inputs!$B$12,'S2_D1_Retailer'!K35,'S2_D2_Retailer'!K35,'S2_D3_Retailer'!K35)</f>
        <v/>
      </c>
      <c r="I38" s="2">
        <f>CHOOSE(Inputs!$B$12,'S2_D1_Retailer'!L35,'S2_D2_Retailer'!L35,'S2_D3_Retailer'!L35)</f>
        <v/>
      </c>
      <c r="J38" s="2">
        <f>CHOOSE(Inputs!$B$12,'S2_D1_Retailer'!M35,'S2_D2_Retailer'!M35,'S2_D3_Retailer'!M35)</f>
        <v/>
      </c>
      <c r="K38" s="2">
        <f>CHOOSE(Inputs!$B$12,'S2_D1_Retailer'!N35,'S2_D2_Retailer'!N35,'S2_D3_Retailer'!N35)</f>
        <v/>
      </c>
      <c r="L38" s="2">
        <f>CHOOSE(Inputs!$B$12,'S2_D1_Wholesaler'!C35,'S2_D2_Wholesaler'!C35,'S2_D3_Wholesaler'!C35)</f>
        <v/>
      </c>
      <c r="M38" s="2">
        <f>CHOOSE(Inputs!$B$12,'S2_D1_Wholesaler'!D35,'S2_D2_Wholesaler'!D35,'S2_D3_Wholesaler'!D35)</f>
        <v/>
      </c>
      <c r="N38" s="2">
        <f>CHOOSE(Inputs!$B$12,'S2_D1_Wholesaler'!H35,'S2_D2_Wholesaler'!H35,'S2_D3_Wholesaler'!H35)</f>
        <v/>
      </c>
      <c r="O38" s="2">
        <f>CHOOSE(Inputs!$B$12,'S2_D1_Wholesaler'!I35,'S2_D2_Wholesaler'!I35,'S2_D3_Wholesaler'!I35)</f>
        <v/>
      </c>
      <c r="P38" s="2">
        <f>CHOOSE(Inputs!$B$12,'S2_D1_Wholesaler'!J35,'S2_D2_Wholesaler'!J35,'S2_D3_Wholesaler'!J35)</f>
        <v/>
      </c>
      <c r="Q38" s="2">
        <f>CHOOSE(Inputs!$B$12,'S2_D1_Wholesaler'!P35,'S2_D2_Wholesaler'!P35,'S2_D3_Wholesaler'!P35)</f>
        <v/>
      </c>
      <c r="R38" s="2">
        <f>CHOOSE(Inputs!$B$12,'S2_D1_Wholesaler'!K35,'S2_D2_Wholesaler'!K35,'S2_D3_Wholesaler'!K35)</f>
        <v/>
      </c>
      <c r="S38" s="2">
        <f>CHOOSE(Inputs!$B$12,'S2_D1_Wholesaler'!L35,'S2_D2_Wholesaler'!L35,'S2_D3_Wholesaler'!L35)</f>
        <v/>
      </c>
      <c r="T38" s="2">
        <f>CHOOSE(Inputs!$B$12,'S2_D1_Wholesaler'!M35,'S2_D2_Wholesaler'!M35,'S2_D3_Wholesaler'!M35)</f>
        <v/>
      </c>
      <c r="U38" s="2">
        <f>CHOOSE(Inputs!$B$12,'S2_D1_Wholesaler'!N35,'S2_D2_Wholesaler'!N35,'S2_D3_Wholesaler'!N35)</f>
        <v/>
      </c>
      <c r="V38" s="2">
        <f>CHOOSE(Inputs!$B$12,'S2_D1_Distributor'!C35,'S2_D2_Distributor'!C35,'S2_D3_Distributor'!C35)</f>
        <v/>
      </c>
      <c r="W38" s="2">
        <f>CHOOSE(Inputs!$B$12,'S2_D1_Distributor'!D35,'S2_D2_Distributor'!D35,'S2_D3_Distributor'!D35)</f>
        <v/>
      </c>
      <c r="X38" s="2">
        <f>CHOOSE(Inputs!$B$12,'S2_D1_Distributor'!H35,'S2_D2_Distributor'!H35,'S2_D3_Distributor'!H35)</f>
        <v/>
      </c>
      <c r="Y38" s="2">
        <f>CHOOSE(Inputs!$B$12,'S2_D1_Distributor'!I35,'S2_D2_Distributor'!I35,'S2_D3_Distributor'!I35)</f>
        <v/>
      </c>
      <c r="Z38" s="2">
        <f>CHOOSE(Inputs!$B$12,'S2_D1_Distributor'!J35,'S2_D2_Distributor'!J35,'S2_D3_Distributor'!J35)</f>
        <v/>
      </c>
      <c r="AA38" s="2">
        <f>CHOOSE(Inputs!$B$12,'S2_D1_Distributor'!P35,'S2_D2_Distributor'!P35,'S2_D3_Distributor'!P35)</f>
        <v/>
      </c>
      <c r="AB38" s="2">
        <f>CHOOSE(Inputs!$B$12,'S2_D1_Distributor'!K35,'S2_D2_Distributor'!K35,'S2_D3_Distributor'!K35)</f>
        <v/>
      </c>
      <c r="AC38" s="2">
        <f>CHOOSE(Inputs!$B$12,'S2_D1_Distributor'!L35,'S2_D2_Distributor'!L35,'S2_D3_Distributor'!L35)</f>
        <v/>
      </c>
      <c r="AD38" s="2">
        <f>CHOOSE(Inputs!$B$12,'S2_D1_Distributor'!M35,'S2_D2_Distributor'!M35,'S2_D3_Distributor'!M35)</f>
        <v/>
      </c>
      <c r="AE38" s="2">
        <f>CHOOSE(Inputs!$B$12,'S2_D1_Distributor'!N35,'S2_D2_Distributor'!N35,'S2_D3_Distributor'!N35)</f>
        <v/>
      </c>
      <c r="AF38" s="2">
        <f>CHOOSE(Inputs!$B$12,'S2_D1_Factory'!C35,'S2_D2_Factory'!C35,'S2_D3_Factory'!C35)</f>
        <v/>
      </c>
      <c r="AG38" s="2">
        <f>CHOOSE(Inputs!$B$12,'S2_D1_Factory'!D35,'S2_D2_Factory'!D35,'S2_D3_Factory'!D35)</f>
        <v/>
      </c>
      <c r="AH38" s="2">
        <f>CHOOSE(Inputs!$B$12,'S2_D1_Factory'!H35,'S2_D2_Factory'!H35,'S2_D3_Factory'!H35)</f>
        <v/>
      </c>
      <c r="AI38" s="2">
        <f>CHOOSE(Inputs!$B$12,'S2_D1_Factory'!I35,'S2_D2_Factory'!I35,'S2_D3_Factory'!I35)</f>
        <v/>
      </c>
      <c r="AJ38" s="2">
        <f>CHOOSE(Inputs!$B$12,'S2_D1_Factory'!J35,'S2_D2_Factory'!J35,'S2_D3_Factory'!J35)</f>
        <v/>
      </c>
      <c r="AK38" s="2">
        <f>CHOOSE(Inputs!$B$12,'S2_D1_Factory'!P35,'S2_D2_Factory'!P35,'S2_D3_Factory'!P35)</f>
        <v/>
      </c>
      <c r="AL38" s="2">
        <f>CHOOSE(Inputs!$B$12,'S2_D1_Factory'!K35,'S2_D2_Factory'!K35,'S2_D3_Factory'!K35)</f>
        <v/>
      </c>
      <c r="AM38" s="2">
        <f>CHOOSE(Inputs!$B$12,'S2_D1_Factory'!L35,'S2_D2_Factory'!L35,'S2_D3_Factory'!L35)</f>
        <v/>
      </c>
      <c r="AN38" s="2">
        <f>CHOOSE(Inputs!$B$12,'S2_D1_Factory'!M35,'S2_D2_Factory'!M35,'S2_D3_Factory'!M35)</f>
        <v/>
      </c>
      <c r="AO38" s="2">
        <f>CHOOSE(Inputs!$B$12,'S2_D1_Factory'!N35,'S2_D2_Factory'!N35,'S2_D3_Factory'!N35)</f>
        <v/>
      </c>
      <c r="AP38" s="2">
        <f>SUM(H38,R38,AB38,AL38)</f>
        <v/>
      </c>
      <c r="AQ38" s="2">
        <f>SUM(I38,S38,AC38,AM38)</f>
        <v/>
      </c>
      <c r="AR38" s="2">
        <f>SUM(J38,T38,AD38,AN38)</f>
        <v/>
      </c>
      <c r="AS38" s="2">
        <f>AS37+AR38</f>
        <v/>
      </c>
    </row>
    <row r="39">
      <c r="A39" s="2" t="n">
        <v>35</v>
      </c>
      <c r="B39" s="2">
        <f>CHOOSE(Inputs!$B$12,'S2_D1_Retailer'!C36,'S2_D2_Retailer'!C36,'S2_D3_Retailer'!C36)</f>
        <v/>
      </c>
      <c r="C39" s="2">
        <f>CHOOSE(Inputs!$B$12,'S2_D1_Retailer'!D36,'S2_D2_Retailer'!D36,'S2_D3_Retailer'!D36)</f>
        <v/>
      </c>
      <c r="D39" s="2">
        <f>CHOOSE(Inputs!$B$12,'S2_D1_Retailer'!H36,'S2_D2_Retailer'!H36,'S2_D3_Retailer'!H36)</f>
        <v/>
      </c>
      <c r="E39" s="2">
        <f>CHOOSE(Inputs!$B$12,'S2_D1_Retailer'!I36,'S2_D2_Retailer'!I36,'S2_D3_Retailer'!I36)</f>
        <v/>
      </c>
      <c r="F39" s="2">
        <f>CHOOSE(Inputs!$B$12,'S2_D1_Retailer'!J36,'S2_D2_Retailer'!J36,'S2_D3_Retailer'!J36)</f>
        <v/>
      </c>
      <c r="G39" s="2">
        <f>CHOOSE(Inputs!$B$12,'S2_D1_Retailer'!P36,'S2_D2_Retailer'!P36,'S2_D3_Retailer'!P36)</f>
        <v/>
      </c>
      <c r="H39" s="2">
        <f>CHOOSE(Inputs!$B$12,'S2_D1_Retailer'!K36,'S2_D2_Retailer'!K36,'S2_D3_Retailer'!K36)</f>
        <v/>
      </c>
      <c r="I39" s="2">
        <f>CHOOSE(Inputs!$B$12,'S2_D1_Retailer'!L36,'S2_D2_Retailer'!L36,'S2_D3_Retailer'!L36)</f>
        <v/>
      </c>
      <c r="J39" s="2">
        <f>CHOOSE(Inputs!$B$12,'S2_D1_Retailer'!M36,'S2_D2_Retailer'!M36,'S2_D3_Retailer'!M36)</f>
        <v/>
      </c>
      <c r="K39" s="2">
        <f>CHOOSE(Inputs!$B$12,'S2_D1_Retailer'!N36,'S2_D2_Retailer'!N36,'S2_D3_Retailer'!N36)</f>
        <v/>
      </c>
      <c r="L39" s="2">
        <f>CHOOSE(Inputs!$B$12,'S2_D1_Wholesaler'!C36,'S2_D2_Wholesaler'!C36,'S2_D3_Wholesaler'!C36)</f>
        <v/>
      </c>
      <c r="M39" s="2">
        <f>CHOOSE(Inputs!$B$12,'S2_D1_Wholesaler'!D36,'S2_D2_Wholesaler'!D36,'S2_D3_Wholesaler'!D36)</f>
        <v/>
      </c>
      <c r="N39" s="2">
        <f>CHOOSE(Inputs!$B$12,'S2_D1_Wholesaler'!H36,'S2_D2_Wholesaler'!H36,'S2_D3_Wholesaler'!H36)</f>
        <v/>
      </c>
      <c r="O39" s="2">
        <f>CHOOSE(Inputs!$B$12,'S2_D1_Wholesaler'!I36,'S2_D2_Wholesaler'!I36,'S2_D3_Wholesaler'!I36)</f>
        <v/>
      </c>
      <c r="P39" s="2">
        <f>CHOOSE(Inputs!$B$12,'S2_D1_Wholesaler'!J36,'S2_D2_Wholesaler'!J36,'S2_D3_Wholesaler'!J36)</f>
        <v/>
      </c>
      <c r="Q39" s="2">
        <f>CHOOSE(Inputs!$B$12,'S2_D1_Wholesaler'!P36,'S2_D2_Wholesaler'!P36,'S2_D3_Wholesaler'!P36)</f>
        <v/>
      </c>
      <c r="R39" s="2">
        <f>CHOOSE(Inputs!$B$12,'S2_D1_Wholesaler'!K36,'S2_D2_Wholesaler'!K36,'S2_D3_Wholesaler'!K36)</f>
        <v/>
      </c>
      <c r="S39" s="2">
        <f>CHOOSE(Inputs!$B$12,'S2_D1_Wholesaler'!L36,'S2_D2_Wholesaler'!L36,'S2_D3_Wholesaler'!L36)</f>
        <v/>
      </c>
      <c r="T39" s="2">
        <f>CHOOSE(Inputs!$B$12,'S2_D1_Wholesaler'!M36,'S2_D2_Wholesaler'!M36,'S2_D3_Wholesaler'!M36)</f>
        <v/>
      </c>
      <c r="U39" s="2">
        <f>CHOOSE(Inputs!$B$12,'S2_D1_Wholesaler'!N36,'S2_D2_Wholesaler'!N36,'S2_D3_Wholesaler'!N36)</f>
        <v/>
      </c>
      <c r="V39" s="2">
        <f>CHOOSE(Inputs!$B$12,'S2_D1_Distributor'!C36,'S2_D2_Distributor'!C36,'S2_D3_Distributor'!C36)</f>
        <v/>
      </c>
      <c r="W39" s="2">
        <f>CHOOSE(Inputs!$B$12,'S2_D1_Distributor'!D36,'S2_D2_Distributor'!D36,'S2_D3_Distributor'!D36)</f>
        <v/>
      </c>
      <c r="X39" s="2">
        <f>CHOOSE(Inputs!$B$12,'S2_D1_Distributor'!H36,'S2_D2_Distributor'!H36,'S2_D3_Distributor'!H36)</f>
        <v/>
      </c>
      <c r="Y39" s="2">
        <f>CHOOSE(Inputs!$B$12,'S2_D1_Distributor'!I36,'S2_D2_Distributor'!I36,'S2_D3_Distributor'!I36)</f>
        <v/>
      </c>
      <c r="Z39" s="2">
        <f>CHOOSE(Inputs!$B$12,'S2_D1_Distributor'!J36,'S2_D2_Distributor'!J36,'S2_D3_Distributor'!J36)</f>
        <v/>
      </c>
      <c r="AA39" s="2">
        <f>CHOOSE(Inputs!$B$12,'S2_D1_Distributor'!P36,'S2_D2_Distributor'!P36,'S2_D3_Distributor'!P36)</f>
        <v/>
      </c>
      <c r="AB39" s="2">
        <f>CHOOSE(Inputs!$B$12,'S2_D1_Distributor'!K36,'S2_D2_Distributor'!K36,'S2_D3_Distributor'!K36)</f>
        <v/>
      </c>
      <c r="AC39" s="2">
        <f>CHOOSE(Inputs!$B$12,'S2_D1_Distributor'!L36,'S2_D2_Distributor'!L36,'S2_D3_Distributor'!L36)</f>
        <v/>
      </c>
      <c r="AD39" s="2">
        <f>CHOOSE(Inputs!$B$12,'S2_D1_Distributor'!M36,'S2_D2_Distributor'!M36,'S2_D3_Distributor'!M36)</f>
        <v/>
      </c>
      <c r="AE39" s="2">
        <f>CHOOSE(Inputs!$B$12,'S2_D1_Distributor'!N36,'S2_D2_Distributor'!N36,'S2_D3_Distributor'!N36)</f>
        <v/>
      </c>
      <c r="AF39" s="2">
        <f>CHOOSE(Inputs!$B$12,'S2_D1_Factory'!C36,'S2_D2_Factory'!C36,'S2_D3_Factory'!C36)</f>
        <v/>
      </c>
      <c r="AG39" s="2">
        <f>CHOOSE(Inputs!$B$12,'S2_D1_Factory'!D36,'S2_D2_Factory'!D36,'S2_D3_Factory'!D36)</f>
        <v/>
      </c>
      <c r="AH39" s="2">
        <f>CHOOSE(Inputs!$B$12,'S2_D1_Factory'!H36,'S2_D2_Factory'!H36,'S2_D3_Factory'!H36)</f>
        <v/>
      </c>
      <c r="AI39" s="2">
        <f>CHOOSE(Inputs!$B$12,'S2_D1_Factory'!I36,'S2_D2_Factory'!I36,'S2_D3_Factory'!I36)</f>
        <v/>
      </c>
      <c r="AJ39" s="2">
        <f>CHOOSE(Inputs!$B$12,'S2_D1_Factory'!J36,'S2_D2_Factory'!J36,'S2_D3_Factory'!J36)</f>
        <v/>
      </c>
      <c r="AK39" s="2">
        <f>CHOOSE(Inputs!$B$12,'S2_D1_Factory'!P36,'S2_D2_Factory'!P36,'S2_D3_Factory'!P36)</f>
        <v/>
      </c>
      <c r="AL39" s="2">
        <f>CHOOSE(Inputs!$B$12,'S2_D1_Factory'!K36,'S2_D2_Factory'!K36,'S2_D3_Factory'!K36)</f>
        <v/>
      </c>
      <c r="AM39" s="2">
        <f>CHOOSE(Inputs!$B$12,'S2_D1_Factory'!L36,'S2_D2_Factory'!L36,'S2_D3_Factory'!L36)</f>
        <v/>
      </c>
      <c r="AN39" s="2">
        <f>CHOOSE(Inputs!$B$12,'S2_D1_Factory'!M36,'S2_D2_Factory'!M36,'S2_D3_Factory'!M36)</f>
        <v/>
      </c>
      <c r="AO39" s="2">
        <f>CHOOSE(Inputs!$B$12,'S2_D1_Factory'!N36,'S2_D2_Factory'!N36,'S2_D3_Factory'!N36)</f>
        <v/>
      </c>
      <c r="AP39" s="2">
        <f>SUM(H39,R39,AB39,AL39)</f>
        <v/>
      </c>
      <c r="AQ39" s="2">
        <f>SUM(I39,S39,AC39,AM39)</f>
        <v/>
      </c>
      <c r="AR39" s="2">
        <f>SUM(J39,T39,AD39,AN39)</f>
        <v/>
      </c>
      <c r="AS39" s="2">
        <f>AS38+AR39</f>
        <v/>
      </c>
    </row>
  </sheetData>
  <mergeCells count="6">
    <mergeCell ref="A3:A4"/>
    <mergeCell ref="AF3:AO3"/>
    <mergeCell ref="V3:AE3"/>
    <mergeCell ref="L3:U3"/>
    <mergeCell ref="AP3:AS3"/>
    <mergeCell ref="B3:K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64</v>
      </c>
      <c r="C2" t="n">
        <v>64</v>
      </c>
      <c r="D2" t="n">
        <v>50</v>
      </c>
      <c r="E2" t="n">
        <v>100</v>
      </c>
      <c r="F2" t="n">
        <v>0</v>
      </c>
      <c r="G2" t="n">
        <v>64</v>
      </c>
      <c r="H2" t="n">
        <v>64</v>
      </c>
      <c r="I2" t="n">
        <v>86</v>
      </c>
      <c r="J2" t="n">
        <v>0</v>
      </c>
      <c r="K2" t="n">
        <v>21.5</v>
      </c>
      <c r="L2" t="n">
        <v>0</v>
      </c>
      <c r="M2" t="n">
        <v>21.5</v>
      </c>
      <c r="N2" t="n">
        <v>21.5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96</v>
      </c>
      <c r="C3" t="n">
        <v>96</v>
      </c>
      <c r="D3" t="n">
        <v>50</v>
      </c>
      <c r="E3" t="n">
        <v>86</v>
      </c>
      <c r="F3" t="n">
        <v>0</v>
      </c>
      <c r="G3" t="n">
        <v>96</v>
      </c>
      <c r="H3" t="n">
        <v>96</v>
      </c>
      <c r="I3" t="n">
        <v>40</v>
      </c>
      <c r="J3" t="n">
        <v>0</v>
      </c>
      <c r="K3" t="n">
        <v>10</v>
      </c>
      <c r="L3" t="n">
        <v>0</v>
      </c>
      <c r="M3" t="n">
        <v>10</v>
      </c>
      <c r="N3" t="n">
        <v>31.5</v>
      </c>
      <c r="P3" t="n">
        <v>60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76</v>
      </c>
      <c r="C4" t="n">
        <v>76</v>
      </c>
      <c r="D4" t="n">
        <v>0</v>
      </c>
      <c r="E4" t="n">
        <v>40</v>
      </c>
      <c r="F4" t="n">
        <v>0</v>
      </c>
      <c r="G4" t="n">
        <v>76</v>
      </c>
      <c r="H4" t="n">
        <v>40</v>
      </c>
      <c r="I4" t="n">
        <v>0</v>
      </c>
      <c r="J4" t="n">
        <v>36</v>
      </c>
      <c r="K4" t="n">
        <v>0</v>
      </c>
      <c r="L4" t="n">
        <v>36</v>
      </c>
      <c r="M4" t="n">
        <v>36</v>
      </c>
      <c r="N4" t="n">
        <v>67.5</v>
      </c>
      <c r="P4" t="n">
        <v>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88</v>
      </c>
      <c r="C5" t="n">
        <v>88</v>
      </c>
      <c r="D5" t="n">
        <v>0</v>
      </c>
      <c r="E5" t="n">
        <v>0</v>
      </c>
      <c r="F5" t="n">
        <v>36</v>
      </c>
      <c r="G5" t="n">
        <v>124</v>
      </c>
      <c r="H5" t="n">
        <v>0</v>
      </c>
      <c r="I5" t="n">
        <v>0</v>
      </c>
      <c r="J5" t="n">
        <v>124</v>
      </c>
      <c r="K5" t="n">
        <v>0</v>
      </c>
      <c r="L5" t="n">
        <v>124</v>
      </c>
      <c r="M5" t="n">
        <v>124</v>
      </c>
      <c r="N5" t="n">
        <v>191.5</v>
      </c>
      <c r="P5" t="n">
        <v>224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72</v>
      </c>
      <c r="C6" t="n">
        <v>72</v>
      </c>
      <c r="D6" t="n">
        <v>0</v>
      </c>
      <c r="E6" t="n">
        <v>0</v>
      </c>
      <c r="F6" t="n">
        <v>124</v>
      </c>
      <c r="G6" t="n">
        <v>196</v>
      </c>
      <c r="H6" t="n">
        <v>0</v>
      </c>
      <c r="I6" t="n">
        <v>0</v>
      </c>
      <c r="J6" t="n">
        <v>196</v>
      </c>
      <c r="K6" t="n">
        <v>0</v>
      </c>
      <c r="L6" t="n">
        <v>196</v>
      </c>
      <c r="M6" t="n">
        <v>196</v>
      </c>
      <c r="N6" t="n">
        <v>387.5</v>
      </c>
      <c r="P6" t="n">
        <v>236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104</v>
      </c>
      <c r="C7" t="n">
        <v>104</v>
      </c>
      <c r="D7" t="n">
        <v>60</v>
      </c>
      <c r="E7" t="n">
        <v>0</v>
      </c>
      <c r="F7" t="n">
        <v>196</v>
      </c>
      <c r="G7" t="n">
        <v>300</v>
      </c>
      <c r="H7" t="n">
        <v>60</v>
      </c>
      <c r="I7" t="n">
        <v>0</v>
      </c>
      <c r="J7" t="n">
        <v>240</v>
      </c>
      <c r="K7" t="n">
        <v>0</v>
      </c>
      <c r="L7" t="n">
        <v>240</v>
      </c>
      <c r="M7" t="n">
        <v>240</v>
      </c>
      <c r="N7" t="n">
        <v>627.5</v>
      </c>
      <c r="P7" t="n">
        <v>204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68</v>
      </c>
      <c r="C8" t="n">
        <v>68</v>
      </c>
      <c r="D8" t="n">
        <v>136</v>
      </c>
      <c r="E8" t="n">
        <v>0</v>
      </c>
      <c r="F8" t="n">
        <v>240</v>
      </c>
      <c r="G8" t="n">
        <v>308</v>
      </c>
      <c r="H8" t="n">
        <v>136</v>
      </c>
      <c r="I8" t="n">
        <v>0</v>
      </c>
      <c r="J8" t="n">
        <v>172</v>
      </c>
      <c r="K8" t="n">
        <v>0</v>
      </c>
      <c r="L8" t="n">
        <v>172</v>
      </c>
      <c r="M8" t="n">
        <v>172</v>
      </c>
      <c r="N8" t="n">
        <v>799.5</v>
      </c>
      <c r="P8" t="n">
        <v>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92</v>
      </c>
      <c r="C9" t="n">
        <v>92</v>
      </c>
      <c r="D9" t="n">
        <v>204</v>
      </c>
      <c r="E9" t="n">
        <v>0</v>
      </c>
      <c r="F9" t="n">
        <v>172</v>
      </c>
      <c r="G9" t="n">
        <v>264</v>
      </c>
      <c r="H9" t="n">
        <v>204</v>
      </c>
      <c r="I9" t="n">
        <v>0</v>
      </c>
      <c r="J9" t="n">
        <v>60</v>
      </c>
      <c r="K9" t="n">
        <v>0</v>
      </c>
      <c r="L9" t="n">
        <v>60</v>
      </c>
      <c r="M9" t="n">
        <v>60</v>
      </c>
      <c r="N9" t="n">
        <v>859.5</v>
      </c>
      <c r="P9" t="n">
        <v>60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80</v>
      </c>
      <c r="C10" t="n">
        <v>80</v>
      </c>
      <c r="D10" t="n">
        <v>100</v>
      </c>
      <c r="E10" t="n">
        <v>0</v>
      </c>
      <c r="F10" t="n">
        <v>60</v>
      </c>
      <c r="G10" t="n">
        <v>140</v>
      </c>
      <c r="H10" t="n">
        <v>100</v>
      </c>
      <c r="I10" t="n">
        <v>0</v>
      </c>
      <c r="J10" t="n">
        <v>40</v>
      </c>
      <c r="K10" t="n">
        <v>0</v>
      </c>
      <c r="L10" t="n">
        <v>40</v>
      </c>
      <c r="M10" t="n">
        <v>40</v>
      </c>
      <c r="N10" t="n">
        <v>899.5</v>
      </c>
      <c r="P10" t="n">
        <v>80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84</v>
      </c>
      <c r="C11" t="n">
        <v>84</v>
      </c>
      <c r="D11" t="n">
        <v>60</v>
      </c>
      <c r="E11" t="n">
        <v>0</v>
      </c>
      <c r="F11" t="n">
        <v>40</v>
      </c>
      <c r="G11" t="n">
        <v>124</v>
      </c>
      <c r="H11" t="n">
        <v>60</v>
      </c>
      <c r="I11" t="n">
        <v>0</v>
      </c>
      <c r="J11" t="n">
        <v>64</v>
      </c>
      <c r="K11" t="n">
        <v>0</v>
      </c>
      <c r="L11" t="n">
        <v>64</v>
      </c>
      <c r="M11" t="n">
        <v>64</v>
      </c>
      <c r="N11" t="n">
        <v>963.5</v>
      </c>
      <c r="P11" t="n">
        <v>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60</v>
      </c>
      <c r="C12" t="n">
        <v>60</v>
      </c>
      <c r="D12" t="n">
        <v>96</v>
      </c>
      <c r="E12" t="n">
        <v>0</v>
      </c>
      <c r="F12" t="n">
        <v>64</v>
      </c>
      <c r="G12" t="n">
        <v>124</v>
      </c>
      <c r="H12" t="n">
        <v>96</v>
      </c>
      <c r="I12" t="n">
        <v>0</v>
      </c>
      <c r="J12" t="n">
        <v>28</v>
      </c>
      <c r="K12" t="n">
        <v>0</v>
      </c>
      <c r="L12" t="n">
        <v>28</v>
      </c>
      <c r="M12" t="n">
        <v>28</v>
      </c>
      <c r="N12" t="n">
        <v>991.5</v>
      </c>
      <c r="P12" t="n">
        <v>208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100</v>
      </c>
      <c r="C13" t="n">
        <v>100</v>
      </c>
      <c r="D13" t="n">
        <v>120</v>
      </c>
      <c r="E13" t="n">
        <v>0</v>
      </c>
      <c r="F13" t="n">
        <v>28</v>
      </c>
      <c r="G13" t="n">
        <v>128</v>
      </c>
      <c r="H13" t="n">
        <v>120</v>
      </c>
      <c r="I13" t="n">
        <v>0</v>
      </c>
      <c r="J13" t="n">
        <v>8</v>
      </c>
      <c r="K13" t="n">
        <v>0</v>
      </c>
      <c r="L13" t="n">
        <v>8</v>
      </c>
      <c r="M13" t="n">
        <v>8</v>
      </c>
      <c r="N13" t="n">
        <v>999.5</v>
      </c>
      <c r="P13" t="n">
        <v>112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78</v>
      </c>
      <c r="C14" t="n">
        <v>78</v>
      </c>
      <c r="D14" t="n">
        <v>196</v>
      </c>
      <c r="E14" t="n">
        <v>0</v>
      </c>
      <c r="F14" t="n">
        <v>8</v>
      </c>
      <c r="G14" t="n">
        <v>86</v>
      </c>
      <c r="H14" t="n">
        <v>86</v>
      </c>
      <c r="I14" t="n">
        <v>110</v>
      </c>
      <c r="J14" t="n">
        <v>0</v>
      </c>
      <c r="K14" t="n">
        <v>27.5</v>
      </c>
      <c r="L14" t="n">
        <v>0</v>
      </c>
      <c r="M14" t="n">
        <v>27.5</v>
      </c>
      <c r="N14" t="n">
        <v>1027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82</v>
      </c>
      <c r="C15" t="n">
        <v>82</v>
      </c>
      <c r="D15" t="n">
        <v>304</v>
      </c>
      <c r="E15" t="n">
        <v>110</v>
      </c>
      <c r="F15" t="n">
        <v>0</v>
      </c>
      <c r="G15" t="n">
        <v>82</v>
      </c>
      <c r="H15" t="n">
        <v>82</v>
      </c>
      <c r="I15" t="n">
        <v>332</v>
      </c>
      <c r="J15" t="n">
        <v>0</v>
      </c>
      <c r="K15" t="n">
        <v>83</v>
      </c>
      <c r="L15" t="n">
        <v>0</v>
      </c>
      <c r="M15" t="n">
        <v>83</v>
      </c>
      <c r="N15" t="n">
        <v>1110</v>
      </c>
      <c r="P15" t="n">
        <v>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70</v>
      </c>
      <c r="C16" t="n">
        <v>70</v>
      </c>
      <c r="D16" t="n">
        <v>252</v>
      </c>
      <c r="E16" t="n">
        <v>332</v>
      </c>
      <c r="F16" t="n">
        <v>0</v>
      </c>
      <c r="G16" t="n">
        <v>70</v>
      </c>
      <c r="H16" t="n">
        <v>70</v>
      </c>
      <c r="I16" t="n">
        <v>514</v>
      </c>
      <c r="J16" t="n">
        <v>0</v>
      </c>
      <c r="K16" t="n">
        <v>128.5</v>
      </c>
      <c r="L16" t="n">
        <v>0</v>
      </c>
      <c r="M16" t="n">
        <v>128.5</v>
      </c>
      <c r="N16" t="n">
        <v>1238.5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90</v>
      </c>
      <c r="C17" t="n">
        <v>90</v>
      </c>
      <c r="D17" t="n">
        <v>116</v>
      </c>
      <c r="E17" t="n">
        <v>514</v>
      </c>
      <c r="F17" t="n">
        <v>0</v>
      </c>
      <c r="G17" t="n">
        <v>90</v>
      </c>
      <c r="H17" t="n">
        <v>90</v>
      </c>
      <c r="I17" t="n">
        <v>540</v>
      </c>
      <c r="J17" t="n">
        <v>0</v>
      </c>
      <c r="K17" t="n">
        <v>135</v>
      </c>
      <c r="L17" t="n">
        <v>0</v>
      </c>
      <c r="M17" t="n">
        <v>135</v>
      </c>
      <c r="N17" t="n">
        <v>1373.5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74</v>
      </c>
      <c r="C18" t="n">
        <v>74</v>
      </c>
      <c r="D18" t="n">
        <v>0</v>
      </c>
      <c r="E18" t="n">
        <v>540</v>
      </c>
      <c r="F18" t="n">
        <v>0</v>
      </c>
      <c r="G18" t="n">
        <v>74</v>
      </c>
      <c r="H18" t="n">
        <v>74</v>
      </c>
      <c r="I18" t="n">
        <v>466</v>
      </c>
      <c r="J18" t="n">
        <v>0</v>
      </c>
      <c r="K18" t="n">
        <v>116.5</v>
      </c>
      <c r="L18" t="n">
        <v>0</v>
      </c>
      <c r="M18" t="n">
        <v>116.5</v>
      </c>
      <c r="N18" t="n">
        <v>1490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86</v>
      </c>
      <c r="C19" t="n">
        <v>86</v>
      </c>
      <c r="D19" t="n">
        <v>0</v>
      </c>
      <c r="E19" t="n">
        <v>466</v>
      </c>
      <c r="F19" t="n">
        <v>0</v>
      </c>
      <c r="G19" t="n">
        <v>86</v>
      </c>
      <c r="H19" t="n">
        <v>86</v>
      </c>
      <c r="I19" t="n">
        <v>380</v>
      </c>
      <c r="J19" t="n">
        <v>0</v>
      </c>
      <c r="K19" t="n">
        <v>95</v>
      </c>
      <c r="L19" t="n">
        <v>0</v>
      </c>
      <c r="M19" t="n">
        <v>95</v>
      </c>
      <c r="N19" t="n">
        <v>1585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56</v>
      </c>
      <c r="C20" t="n">
        <v>56</v>
      </c>
      <c r="D20" t="n">
        <v>0</v>
      </c>
      <c r="E20" t="n">
        <v>380</v>
      </c>
      <c r="F20" t="n">
        <v>0</v>
      </c>
      <c r="G20" t="n">
        <v>56</v>
      </c>
      <c r="H20" t="n">
        <v>56</v>
      </c>
      <c r="I20" t="n">
        <v>324</v>
      </c>
      <c r="J20" t="n">
        <v>0</v>
      </c>
      <c r="K20" t="n">
        <v>81</v>
      </c>
      <c r="L20" t="n">
        <v>0</v>
      </c>
      <c r="M20" t="n">
        <v>81</v>
      </c>
      <c r="N20" t="n">
        <v>1666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112</v>
      </c>
      <c r="C21" t="n">
        <v>112</v>
      </c>
      <c r="D21" t="n">
        <v>28</v>
      </c>
      <c r="E21" t="n">
        <v>324</v>
      </c>
      <c r="F21" t="n">
        <v>0</v>
      </c>
      <c r="G21" t="n">
        <v>112</v>
      </c>
      <c r="H21" t="n">
        <v>112</v>
      </c>
      <c r="I21" t="n">
        <v>240</v>
      </c>
      <c r="J21" t="n">
        <v>0</v>
      </c>
      <c r="K21" t="n">
        <v>60</v>
      </c>
      <c r="L21" t="n">
        <v>0</v>
      </c>
      <c r="M21" t="n">
        <v>60</v>
      </c>
      <c r="N21" t="n">
        <v>1726</v>
      </c>
      <c r="P21" t="n">
        <v>60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77</v>
      </c>
      <c r="C22" t="n">
        <v>77</v>
      </c>
      <c r="D22" t="n">
        <v>0</v>
      </c>
      <c r="E22" t="n">
        <v>240</v>
      </c>
      <c r="F22" t="n">
        <v>0</v>
      </c>
      <c r="G22" t="n">
        <v>77</v>
      </c>
      <c r="H22" t="n">
        <v>77</v>
      </c>
      <c r="I22" t="n">
        <v>163</v>
      </c>
      <c r="J22" t="n">
        <v>0</v>
      </c>
      <c r="K22" t="n">
        <v>40.75</v>
      </c>
      <c r="L22" t="n">
        <v>0</v>
      </c>
      <c r="M22" t="n">
        <v>40.75</v>
      </c>
      <c r="N22" t="n">
        <v>1766.75</v>
      </c>
      <c r="P22" t="n">
        <v>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83</v>
      </c>
      <c r="C23" t="n">
        <v>83</v>
      </c>
      <c r="D23" t="n">
        <v>0</v>
      </c>
      <c r="E23" t="n">
        <v>163</v>
      </c>
      <c r="F23" t="n">
        <v>0</v>
      </c>
      <c r="G23" t="n">
        <v>83</v>
      </c>
      <c r="H23" t="n">
        <v>83</v>
      </c>
      <c r="I23" t="n">
        <v>80</v>
      </c>
      <c r="J23" t="n">
        <v>0</v>
      </c>
      <c r="K23" t="n">
        <v>20</v>
      </c>
      <c r="L23" t="n">
        <v>0</v>
      </c>
      <c r="M23" t="n">
        <v>20</v>
      </c>
      <c r="N23" t="n">
        <v>1786.75</v>
      </c>
      <c r="P23" t="n">
        <v>120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69</v>
      </c>
      <c r="C24" t="n">
        <v>69</v>
      </c>
      <c r="D24" t="n">
        <v>0</v>
      </c>
      <c r="E24" t="n">
        <v>80</v>
      </c>
      <c r="F24" t="n">
        <v>0</v>
      </c>
      <c r="G24" t="n">
        <v>69</v>
      </c>
      <c r="H24" t="n">
        <v>69</v>
      </c>
      <c r="I24" t="n">
        <v>11</v>
      </c>
      <c r="J24" t="n">
        <v>0</v>
      </c>
      <c r="K24" t="n">
        <v>2.75</v>
      </c>
      <c r="L24" t="n">
        <v>0</v>
      </c>
      <c r="M24" t="n">
        <v>2.75</v>
      </c>
      <c r="N24" t="n">
        <v>1789.5</v>
      </c>
      <c r="P24" t="n">
        <v>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91</v>
      </c>
      <c r="C25" t="n">
        <v>91</v>
      </c>
      <c r="D25" t="n">
        <v>60</v>
      </c>
      <c r="E25" t="n">
        <v>11</v>
      </c>
      <c r="F25" t="n">
        <v>0</v>
      </c>
      <c r="G25" t="n">
        <v>91</v>
      </c>
      <c r="H25" t="n">
        <v>71</v>
      </c>
      <c r="I25" t="n">
        <v>0</v>
      </c>
      <c r="J25" t="n">
        <v>20</v>
      </c>
      <c r="K25" t="n">
        <v>0</v>
      </c>
      <c r="L25" t="n">
        <v>20</v>
      </c>
      <c r="M25" t="n">
        <v>20</v>
      </c>
      <c r="N25" t="n">
        <v>1809.5</v>
      </c>
      <c r="P25" t="n">
        <v>183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75</v>
      </c>
      <c r="C26" t="n">
        <v>75</v>
      </c>
      <c r="D26" t="n">
        <v>37</v>
      </c>
      <c r="E26" t="n">
        <v>0</v>
      </c>
      <c r="F26" t="n">
        <v>20</v>
      </c>
      <c r="G26" t="n">
        <v>95</v>
      </c>
      <c r="H26" t="n">
        <v>37</v>
      </c>
      <c r="I26" t="n">
        <v>0</v>
      </c>
      <c r="J26" t="n">
        <v>58</v>
      </c>
      <c r="K26" t="n">
        <v>0</v>
      </c>
      <c r="L26" t="n">
        <v>58</v>
      </c>
      <c r="M26" t="n">
        <v>58</v>
      </c>
      <c r="N26" t="n">
        <v>1867.5</v>
      </c>
      <c r="P26" t="n">
        <v>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85</v>
      </c>
      <c r="C27" t="n">
        <v>85</v>
      </c>
      <c r="D27" t="n">
        <v>120</v>
      </c>
      <c r="E27" t="n">
        <v>0</v>
      </c>
      <c r="F27" t="n">
        <v>58</v>
      </c>
      <c r="G27" t="n">
        <v>143</v>
      </c>
      <c r="H27" t="n">
        <v>120</v>
      </c>
      <c r="I27" t="n">
        <v>0</v>
      </c>
      <c r="J27" t="n">
        <v>23</v>
      </c>
      <c r="K27" t="n">
        <v>0</v>
      </c>
      <c r="L27" t="n">
        <v>23</v>
      </c>
      <c r="M27" t="n">
        <v>23</v>
      </c>
      <c r="N27" t="n">
        <v>1890.5</v>
      </c>
      <c r="P27" t="n">
        <v>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66</v>
      </c>
      <c r="C28" t="n">
        <v>66</v>
      </c>
      <c r="D28" t="n">
        <v>129</v>
      </c>
      <c r="E28" t="n">
        <v>0</v>
      </c>
      <c r="F28" t="n">
        <v>23</v>
      </c>
      <c r="G28" t="n">
        <v>89</v>
      </c>
      <c r="H28" t="n">
        <v>89</v>
      </c>
      <c r="I28" t="n">
        <v>40</v>
      </c>
      <c r="J28" t="n">
        <v>0</v>
      </c>
      <c r="K28" t="n">
        <v>10</v>
      </c>
      <c r="L28" t="n">
        <v>0</v>
      </c>
      <c r="M28" t="n">
        <v>10</v>
      </c>
      <c r="N28" t="n">
        <v>1900.5</v>
      </c>
      <c r="P28" t="n">
        <v>177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94</v>
      </c>
      <c r="C29" t="n">
        <v>94</v>
      </c>
      <c r="D29" t="n">
        <v>183</v>
      </c>
      <c r="E29" t="n">
        <v>40</v>
      </c>
      <c r="F29" t="n">
        <v>0</v>
      </c>
      <c r="G29" t="n">
        <v>94</v>
      </c>
      <c r="H29" t="n">
        <v>94</v>
      </c>
      <c r="I29" t="n">
        <v>129</v>
      </c>
      <c r="J29" t="n">
        <v>0</v>
      </c>
      <c r="K29" t="n">
        <v>32.25</v>
      </c>
      <c r="L29" t="n">
        <v>0</v>
      </c>
      <c r="M29" t="n">
        <v>32.25</v>
      </c>
      <c r="N29" t="n">
        <v>1932.75</v>
      </c>
      <c r="P29" t="n">
        <v>233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78</v>
      </c>
      <c r="C30" t="n">
        <v>78</v>
      </c>
      <c r="D30" t="n">
        <v>138</v>
      </c>
      <c r="E30" t="n">
        <v>129</v>
      </c>
      <c r="F30" t="n">
        <v>0</v>
      </c>
      <c r="G30" t="n">
        <v>78</v>
      </c>
      <c r="H30" t="n">
        <v>78</v>
      </c>
      <c r="I30" t="n">
        <v>189</v>
      </c>
      <c r="J30" t="n">
        <v>0</v>
      </c>
      <c r="K30" t="n">
        <v>47.25</v>
      </c>
      <c r="L30" t="n">
        <v>0</v>
      </c>
      <c r="M30" t="n">
        <v>47.25</v>
      </c>
      <c r="N30" t="n">
        <v>1980</v>
      </c>
      <c r="P30" t="n">
        <v>176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82</v>
      </c>
      <c r="C31" t="n">
        <v>82</v>
      </c>
      <c r="D31" t="n">
        <v>135</v>
      </c>
      <c r="E31" t="n">
        <v>189</v>
      </c>
      <c r="F31" t="n">
        <v>0</v>
      </c>
      <c r="G31" t="n">
        <v>82</v>
      </c>
      <c r="H31" t="n">
        <v>82</v>
      </c>
      <c r="I31" t="n">
        <v>242</v>
      </c>
      <c r="J31" t="n">
        <v>0</v>
      </c>
      <c r="K31" t="n">
        <v>60.5</v>
      </c>
      <c r="L31" t="n">
        <v>0</v>
      </c>
      <c r="M31" t="n">
        <v>60.5</v>
      </c>
      <c r="N31" t="n">
        <v>2040.5</v>
      </c>
      <c r="P31" t="n">
        <v>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71</v>
      </c>
      <c r="C32" t="n">
        <v>71</v>
      </c>
      <c r="D32" t="n">
        <v>150</v>
      </c>
      <c r="E32" t="n">
        <v>242</v>
      </c>
      <c r="F32" t="n">
        <v>0</v>
      </c>
      <c r="G32" t="n">
        <v>71</v>
      </c>
      <c r="H32" t="n">
        <v>71</v>
      </c>
      <c r="I32" t="n">
        <v>321</v>
      </c>
      <c r="J32" t="n">
        <v>0</v>
      </c>
      <c r="K32" t="n">
        <v>80.25</v>
      </c>
      <c r="L32" t="n">
        <v>0</v>
      </c>
      <c r="M32" t="n">
        <v>80.25</v>
      </c>
      <c r="N32" t="n">
        <v>2120.75</v>
      </c>
      <c r="P32" t="n">
        <v>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89</v>
      </c>
      <c r="C33" t="n">
        <v>89</v>
      </c>
      <c r="D33" t="n">
        <v>260</v>
      </c>
      <c r="E33" t="n">
        <v>321</v>
      </c>
      <c r="F33" t="n">
        <v>0</v>
      </c>
      <c r="G33" t="n">
        <v>89</v>
      </c>
      <c r="H33" t="n">
        <v>89</v>
      </c>
      <c r="I33" t="n">
        <v>492</v>
      </c>
      <c r="J33" t="n">
        <v>0</v>
      </c>
      <c r="K33" t="n">
        <v>123</v>
      </c>
      <c r="L33" t="n">
        <v>0</v>
      </c>
      <c r="M33" t="n">
        <v>123</v>
      </c>
      <c r="N33" t="n">
        <v>2243.75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74</v>
      </c>
      <c r="C34" t="n">
        <v>74</v>
      </c>
      <c r="D34" t="n">
        <v>235</v>
      </c>
      <c r="E34" t="n">
        <v>492</v>
      </c>
      <c r="F34" t="n">
        <v>0</v>
      </c>
      <c r="G34" t="n">
        <v>74</v>
      </c>
      <c r="H34" t="n">
        <v>74</v>
      </c>
      <c r="I34" t="n">
        <v>653</v>
      </c>
      <c r="J34" t="n">
        <v>0</v>
      </c>
      <c r="K34" t="n">
        <v>163.25</v>
      </c>
      <c r="L34" t="n">
        <v>0</v>
      </c>
      <c r="M34" t="n">
        <v>163.25</v>
      </c>
      <c r="N34" t="n">
        <v>2407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86</v>
      </c>
      <c r="C35" t="n">
        <v>86</v>
      </c>
      <c r="D35" t="n">
        <v>208</v>
      </c>
      <c r="E35" t="n">
        <v>653</v>
      </c>
      <c r="F35" t="n">
        <v>0</v>
      </c>
      <c r="G35" t="n">
        <v>86</v>
      </c>
      <c r="H35" t="n">
        <v>86</v>
      </c>
      <c r="I35" t="n">
        <v>775</v>
      </c>
      <c r="J35" t="n">
        <v>0</v>
      </c>
      <c r="K35" t="n">
        <v>193.75</v>
      </c>
      <c r="L35" t="n">
        <v>0</v>
      </c>
      <c r="M35" t="n">
        <v>193.75</v>
      </c>
      <c r="N35" t="n">
        <v>2600.75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48</v>
      </c>
      <c r="C36" t="n">
        <v>48</v>
      </c>
      <c r="D36" t="n">
        <v>19</v>
      </c>
      <c r="E36" t="n">
        <v>775</v>
      </c>
      <c r="F36" t="n">
        <v>0</v>
      </c>
      <c r="G36" t="n">
        <v>48</v>
      </c>
      <c r="H36" t="n">
        <v>48</v>
      </c>
      <c r="I36" t="n">
        <v>746</v>
      </c>
      <c r="J36" t="n">
        <v>0</v>
      </c>
      <c r="K36" t="n">
        <v>186.5</v>
      </c>
      <c r="L36" t="n">
        <v>0</v>
      </c>
      <c r="M36" t="n">
        <v>186.5</v>
      </c>
      <c r="N36" t="n">
        <v>2787.25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200</v>
      </c>
      <c r="F4" t="n">
        <v>0</v>
      </c>
      <c r="G4" t="n">
        <v>0</v>
      </c>
      <c r="H4" t="n">
        <v>0</v>
      </c>
      <c r="I4" t="n">
        <v>200</v>
      </c>
      <c r="J4" t="n">
        <v>0</v>
      </c>
      <c r="K4" t="n">
        <v>50</v>
      </c>
      <c r="L4" t="n">
        <v>0</v>
      </c>
      <c r="M4" t="n">
        <v>50</v>
      </c>
      <c r="N4" t="n">
        <v>137.5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60</v>
      </c>
      <c r="C5" t="n">
        <v>60</v>
      </c>
      <c r="D5" t="n">
        <v>0</v>
      </c>
      <c r="E5" t="n">
        <v>200</v>
      </c>
      <c r="F5" t="n">
        <v>0</v>
      </c>
      <c r="G5" t="n">
        <v>60</v>
      </c>
      <c r="H5" t="n">
        <v>60</v>
      </c>
      <c r="I5" t="n">
        <v>140</v>
      </c>
      <c r="J5" t="n">
        <v>0</v>
      </c>
      <c r="K5" t="n">
        <v>35</v>
      </c>
      <c r="L5" t="n">
        <v>0</v>
      </c>
      <c r="M5" t="n">
        <v>35</v>
      </c>
      <c r="N5" t="n">
        <v>172.5</v>
      </c>
      <c r="P5" t="n">
        <v>60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136</v>
      </c>
      <c r="C6" t="n">
        <v>136</v>
      </c>
      <c r="D6" t="n">
        <v>100</v>
      </c>
      <c r="E6" t="n">
        <v>140</v>
      </c>
      <c r="F6" t="n">
        <v>0</v>
      </c>
      <c r="G6" t="n">
        <v>136</v>
      </c>
      <c r="H6" t="n">
        <v>136</v>
      </c>
      <c r="I6" t="n">
        <v>104</v>
      </c>
      <c r="J6" t="n">
        <v>0</v>
      </c>
      <c r="K6" t="n">
        <v>26</v>
      </c>
      <c r="L6" t="n">
        <v>0</v>
      </c>
      <c r="M6" t="n">
        <v>26</v>
      </c>
      <c r="N6" t="n">
        <v>198.5</v>
      </c>
      <c r="P6" t="n">
        <v>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224</v>
      </c>
      <c r="C7" t="n">
        <v>224</v>
      </c>
      <c r="D7" t="n">
        <v>100</v>
      </c>
      <c r="E7" t="n">
        <v>104</v>
      </c>
      <c r="F7" t="n">
        <v>0</v>
      </c>
      <c r="G7" t="n">
        <v>224</v>
      </c>
      <c r="H7" t="n">
        <v>204</v>
      </c>
      <c r="I7" t="n">
        <v>0</v>
      </c>
      <c r="J7" t="n">
        <v>20</v>
      </c>
      <c r="K7" t="n">
        <v>0</v>
      </c>
      <c r="L7" t="n">
        <v>20</v>
      </c>
      <c r="M7" t="n">
        <v>20</v>
      </c>
      <c r="N7" t="n">
        <v>218.5</v>
      </c>
      <c r="P7" t="n">
        <v>120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236</v>
      </c>
      <c r="C8" t="n">
        <v>236</v>
      </c>
      <c r="D8" t="n">
        <v>100</v>
      </c>
      <c r="E8" t="n">
        <v>0</v>
      </c>
      <c r="F8" t="n">
        <v>20</v>
      </c>
      <c r="G8" t="n">
        <v>256</v>
      </c>
      <c r="H8" t="n">
        <v>100</v>
      </c>
      <c r="I8" t="n">
        <v>0</v>
      </c>
      <c r="J8" t="n">
        <v>156</v>
      </c>
      <c r="K8" t="n">
        <v>0</v>
      </c>
      <c r="L8" t="n">
        <v>156</v>
      </c>
      <c r="M8" t="n">
        <v>156</v>
      </c>
      <c r="N8" t="n">
        <v>374.5</v>
      </c>
      <c r="P8" t="n">
        <v>196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204</v>
      </c>
      <c r="C9" t="n">
        <v>204</v>
      </c>
      <c r="D9" t="n">
        <v>60</v>
      </c>
      <c r="E9" t="n">
        <v>0</v>
      </c>
      <c r="F9" t="n">
        <v>156</v>
      </c>
      <c r="G9" t="n">
        <v>360</v>
      </c>
      <c r="H9" t="n">
        <v>60</v>
      </c>
      <c r="I9" t="n">
        <v>0</v>
      </c>
      <c r="J9" t="n">
        <v>300</v>
      </c>
      <c r="K9" t="n">
        <v>0</v>
      </c>
      <c r="L9" t="n">
        <v>300</v>
      </c>
      <c r="M9" t="n">
        <v>300</v>
      </c>
      <c r="N9" t="n">
        <v>674.5</v>
      </c>
      <c r="P9" t="n">
        <v>304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68</v>
      </c>
      <c r="C10" t="n">
        <v>68</v>
      </c>
      <c r="D10" t="n">
        <v>96</v>
      </c>
      <c r="E10" t="n">
        <v>0</v>
      </c>
      <c r="F10" t="n">
        <v>300</v>
      </c>
      <c r="G10" t="n">
        <v>368</v>
      </c>
      <c r="H10" t="n">
        <v>96</v>
      </c>
      <c r="I10" t="n">
        <v>0</v>
      </c>
      <c r="J10" t="n">
        <v>272</v>
      </c>
      <c r="K10" t="n">
        <v>0</v>
      </c>
      <c r="L10" t="n">
        <v>272</v>
      </c>
      <c r="M10" t="n">
        <v>272</v>
      </c>
      <c r="N10" t="n">
        <v>946.5</v>
      </c>
      <c r="P10" t="n">
        <v>252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60</v>
      </c>
      <c r="C11" t="n">
        <v>60</v>
      </c>
      <c r="D11" t="n">
        <v>120</v>
      </c>
      <c r="E11" t="n">
        <v>0</v>
      </c>
      <c r="F11" t="n">
        <v>272</v>
      </c>
      <c r="G11" t="n">
        <v>332</v>
      </c>
      <c r="H11" t="n">
        <v>120</v>
      </c>
      <c r="I11" t="n">
        <v>0</v>
      </c>
      <c r="J11" t="n">
        <v>212</v>
      </c>
      <c r="K11" t="n">
        <v>0</v>
      </c>
      <c r="L11" t="n">
        <v>212</v>
      </c>
      <c r="M11" t="n">
        <v>212</v>
      </c>
      <c r="N11" t="n">
        <v>1158.5</v>
      </c>
      <c r="P11" t="n">
        <v>116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80</v>
      </c>
      <c r="C12" t="n">
        <v>80</v>
      </c>
      <c r="D12" t="n">
        <v>196</v>
      </c>
      <c r="E12" t="n">
        <v>0</v>
      </c>
      <c r="F12" t="n">
        <v>212</v>
      </c>
      <c r="G12" t="n">
        <v>292</v>
      </c>
      <c r="H12" t="n">
        <v>196</v>
      </c>
      <c r="I12" t="n">
        <v>0</v>
      </c>
      <c r="J12" t="n">
        <v>96</v>
      </c>
      <c r="K12" t="n">
        <v>0</v>
      </c>
      <c r="L12" t="n">
        <v>96</v>
      </c>
      <c r="M12" t="n">
        <v>96</v>
      </c>
      <c r="N12" t="n">
        <v>1254.5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268</v>
      </c>
      <c r="C13" t="n">
        <v>268</v>
      </c>
      <c r="D13" t="n">
        <v>304</v>
      </c>
      <c r="E13" t="n">
        <v>0</v>
      </c>
      <c r="F13" t="n">
        <v>96</v>
      </c>
      <c r="G13" t="n">
        <v>364</v>
      </c>
      <c r="H13" t="n">
        <v>304</v>
      </c>
      <c r="I13" t="n">
        <v>0</v>
      </c>
      <c r="J13" t="n">
        <v>60</v>
      </c>
      <c r="K13" t="n">
        <v>0</v>
      </c>
      <c r="L13" t="n">
        <v>60</v>
      </c>
      <c r="M13" t="n">
        <v>60</v>
      </c>
      <c r="N13" t="n">
        <v>1314.5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208</v>
      </c>
      <c r="C14" t="n">
        <v>208</v>
      </c>
      <c r="D14" t="n">
        <v>252</v>
      </c>
      <c r="E14" t="n">
        <v>0</v>
      </c>
      <c r="F14" t="n">
        <v>60</v>
      </c>
      <c r="G14" t="n">
        <v>268</v>
      </c>
      <c r="H14" t="n">
        <v>252</v>
      </c>
      <c r="I14" t="n">
        <v>0</v>
      </c>
      <c r="J14" t="n">
        <v>16</v>
      </c>
      <c r="K14" t="n">
        <v>0</v>
      </c>
      <c r="L14" t="n">
        <v>16</v>
      </c>
      <c r="M14" t="n">
        <v>16</v>
      </c>
      <c r="N14" t="n">
        <v>1330.5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112</v>
      </c>
      <c r="C15" t="n">
        <v>112</v>
      </c>
      <c r="D15" t="n">
        <v>116</v>
      </c>
      <c r="E15" t="n">
        <v>0</v>
      </c>
      <c r="F15" t="n">
        <v>16</v>
      </c>
      <c r="G15" t="n">
        <v>128</v>
      </c>
      <c r="H15" t="n">
        <v>116</v>
      </c>
      <c r="I15" t="n">
        <v>0</v>
      </c>
      <c r="J15" t="n">
        <v>12</v>
      </c>
      <c r="K15" t="n">
        <v>0</v>
      </c>
      <c r="L15" t="n">
        <v>12</v>
      </c>
      <c r="M15" t="n">
        <v>12</v>
      </c>
      <c r="N15" t="n">
        <v>1342.5</v>
      </c>
      <c r="P15" t="n">
        <v>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12</v>
      </c>
      <c r="G16" t="n">
        <v>12</v>
      </c>
      <c r="H16" t="n">
        <v>0</v>
      </c>
      <c r="I16" t="n">
        <v>0</v>
      </c>
      <c r="J16" t="n">
        <v>12</v>
      </c>
      <c r="K16" t="n">
        <v>0</v>
      </c>
      <c r="L16" t="n">
        <v>12</v>
      </c>
      <c r="M16" t="n">
        <v>12</v>
      </c>
      <c r="N16" t="n">
        <v>1354.5</v>
      </c>
      <c r="P16" t="n">
        <v>112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16</v>
      </c>
      <c r="C17" t="n">
        <v>16</v>
      </c>
      <c r="D17" t="n">
        <v>0</v>
      </c>
      <c r="E17" t="n">
        <v>0</v>
      </c>
      <c r="F17" t="n">
        <v>12</v>
      </c>
      <c r="G17" t="n">
        <v>28</v>
      </c>
      <c r="H17" t="n">
        <v>0</v>
      </c>
      <c r="I17" t="n">
        <v>0</v>
      </c>
      <c r="J17" t="n">
        <v>28</v>
      </c>
      <c r="K17" t="n">
        <v>0</v>
      </c>
      <c r="L17" t="n">
        <v>28</v>
      </c>
      <c r="M17" t="n">
        <v>28</v>
      </c>
      <c r="N17" t="n">
        <v>1382.5</v>
      </c>
      <c r="P17" t="n">
        <v>128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28</v>
      </c>
      <c r="G18" t="n">
        <v>28</v>
      </c>
      <c r="H18" t="n">
        <v>0</v>
      </c>
      <c r="I18" t="n">
        <v>0</v>
      </c>
      <c r="J18" t="n">
        <v>28</v>
      </c>
      <c r="K18" t="n">
        <v>0</v>
      </c>
      <c r="L18" t="n">
        <v>28</v>
      </c>
      <c r="M18" t="n">
        <v>28</v>
      </c>
      <c r="N18" t="n">
        <v>1410.5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100</v>
      </c>
      <c r="E19" t="n">
        <v>0</v>
      </c>
      <c r="F19" t="n">
        <v>28</v>
      </c>
      <c r="G19" t="n">
        <v>28</v>
      </c>
      <c r="H19" t="n">
        <v>28</v>
      </c>
      <c r="I19" t="n">
        <v>72</v>
      </c>
      <c r="J19" t="n">
        <v>0</v>
      </c>
      <c r="K19" t="n">
        <v>18</v>
      </c>
      <c r="L19" t="n">
        <v>0</v>
      </c>
      <c r="M19" t="n">
        <v>18</v>
      </c>
      <c r="N19" t="n">
        <v>1428.5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124</v>
      </c>
      <c r="E20" t="n">
        <v>72</v>
      </c>
      <c r="F20" t="n">
        <v>0</v>
      </c>
      <c r="G20" t="n">
        <v>0</v>
      </c>
      <c r="H20" t="n">
        <v>0</v>
      </c>
      <c r="I20" t="n">
        <v>196</v>
      </c>
      <c r="J20" t="n">
        <v>0</v>
      </c>
      <c r="K20" t="n">
        <v>49</v>
      </c>
      <c r="L20" t="n">
        <v>0</v>
      </c>
      <c r="M20" t="n">
        <v>49</v>
      </c>
      <c r="N20" t="n">
        <v>1477.5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92</v>
      </c>
      <c r="E21" t="n">
        <v>196</v>
      </c>
      <c r="F21" t="n">
        <v>0</v>
      </c>
      <c r="G21" t="n">
        <v>0</v>
      </c>
      <c r="H21" t="n">
        <v>0</v>
      </c>
      <c r="I21" t="n">
        <v>288</v>
      </c>
      <c r="J21" t="n">
        <v>0</v>
      </c>
      <c r="K21" t="n">
        <v>72</v>
      </c>
      <c r="L21" t="n">
        <v>0</v>
      </c>
      <c r="M21" t="n">
        <v>72</v>
      </c>
      <c r="N21" t="n">
        <v>1549.5</v>
      </c>
      <c r="P21" t="n">
        <v>60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52</v>
      </c>
      <c r="E22" t="n">
        <v>288</v>
      </c>
      <c r="F22" t="n">
        <v>0</v>
      </c>
      <c r="G22" t="n">
        <v>0</v>
      </c>
      <c r="H22" t="n">
        <v>0</v>
      </c>
      <c r="I22" t="n">
        <v>340</v>
      </c>
      <c r="J22" t="n">
        <v>0</v>
      </c>
      <c r="K22" t="n">
        <v>85</v>
      </c>
      <c r="L22" t="n">
        <v>0</v>
      </c>
      <c r="M22" t="n">
        <v>85</v>
      </c>
      <c r="N22" t="n">
        <v>1634.5</v>
      </c>
      <c r="P22" t="n">
        <v>60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60</v>
      </c>
      <c r="C23" t="n">
        <v>60</v>
      </c>
      <c r="D23" t="n">
        <v>0</v>
      </c>
      <c r="E23" t="n">
        <v>340</v>
      </c>
      <c r="F23" t="n">
        <v>0</v>
      </c>
      <c r="G23" t="n">
        <v>60</v>
      </c>
      <c r="H23" t="n">
        <v>60</v>
      </c>
      <c r="I23" t="n">
        <v>280</v>
      </c>
      <c r="J23" t="n">
        <v>0</v>
      </c>
      <c r="K23" t="n">
        <v>70</v>
      </c>
      <c r="L23" t="n">
        <v>0</v>
      </c>
      <c r="M23" t="n">
        <v>70</v>
      </c>
      <c r="N23" t="n">
        <v>1704.5</v>
      </c>
      <c r="P23" t="n">
        <v>112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37</v>
      </c>
      <c r="C24" t="n">
        <v>37</v>
      </c>
      <c r="D24" t="n">
        <v>8</v>
      </c>
      <c r="E24" t="n">
        <v>280</v>
      </c>
      <c r="F24" t="n">
        <v>0</v>
      </c>
      <c r="G24" t="n">
        <v>37</v>
      </c>
      <c r="H24" t="n">
        <v>37</v>
      </c>
      <c r="I24" t="n">
        <v>251</v>
      </c>
      <c r="J24" t="n">
        <v>0</v>
      </c>
      <c r="K24" t="n">
        <v>62.75</v>
      </c>
      <c r="L24" t="n">
        <v>0</v>
      </c>
      <c r="M24" t="n">
        <v>62.75</v>
      </c>
      <c r="N24" t="n">
        <v>1767.25</v>
      </c>
      <c r="P24" t="n">
        <v>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120</v>
      </c>
      <c r="C25" t="n">
        <v>120</v>
      </c>
      <c r="D25" t="n">
        <v>76</v>
      </c>
      <c r="E25" t="n">
        <v>251</v>
      </c>
      <c r="F25" t="n">
        <v>0</v>
      </c>
      <c r="G25" t="n">
        <v>120</v>
      </c>
      <c r="H25" t="n">
        <v>120</v>
      </c>
      <c r="I25" t="n">
        <v>207</v>
      </c>
      <c r="J25" t="n">
        <v>0</v>
      </c>
      <c r="K25" t="n">
        <v>51.75</v>
      </c>
      <c r="L25" t="n">
        <v>0</v>
      </c>
      <c r="M25" t="n">
        <v>51.75</v>
      </c>
      <c r="N25" t="n">
        <v>1819</v>
      </c>
      <c r="P25" t="n">
        <v>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129</v>
      </c>
      <c r="C26" t="n">
        <v>129</v>
      </c>
      <c r="D26" t="n">
        <v>60</v>
      </c>
      <c r="E26" t="n">
        <v>207</v>
      </c>
      <c r="F26" t="n">
        <v>0</v>
      </c>
      <c r="G26" t="n">
        <v>129</v>
      </c>
      <c r="H26" t="n">
        <v>129</v>
      </c>
      <c r="I26" t="n">
        <v>138</v>
      </c>
      <c r="J26" t="n">
        <v>0</v>
      </c>
      <c r="K26" t="n">
        <v>34.5</v>
      </c>
      <c r="L26" t="n">
        <v>0</v>
      </c>
      <c r="M26" t="n">
        <v>34.5</v>
      </c>
      <c r="N26" t="n">
        <v>1853.5</v>
      </c>
      <c r="P26" t="n">
        <v>150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183</v>
      </c>
      <c r="C27" t="n">
        <v>183</v>
      </c>
      <c r="D27" t="n">
        <v>112</v>
      </c>
      <c r="E27" t="n">
        <v>138</v>
      </c>
      <c r="F27" t="n">
        <v>0</v>
      </c>
      <c r="G27" t="n">
        <v>183</v>
      </c>
      <c r="H27" t="n">
        <v>183</v>
      </c>
      <c r="I27" t="n">
        <v>67</v>
      </c>
      <c r="J27" t="n">
        <v>0</v>
      </c>
      <c r="K27" t="n">
        <v>16.75</v>
      </c>
      <c r="L27" t="n">
        <v>0</v>
      </c>
      <c r="M27" t="n">
        <v>16.75</v>
      </c>
      <c r="N27" t="n">
        <v>1870.25</v>
      </c>
      <c r="P27" t="n">
        <v>260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138</v>
      </c>
      <c r="C28" t="n">
        <v>138</v>
      </c>
      <c r="D28" t="n">
        <v>73</v>
      </c>
      <c r="E28" t="n">
        <v>67</v>
      </c>
      <c r="F28" t="n">
        <v>0</v>
      </c>
      <c r="G28" t="n">
        <v>138</v>
      </c>
      <c r="H28" t="n">
        <v>138</v>
      </c>
      <c r="I28" t="n">
        <v>2</v>
      </c>
      <c r="J28" t="n">
        <v>0</v>
      </c>
      <c r="K28" t="n">
        <v>0.5</v>
      </c>
      <c r="L28" t="n">
        <v>0</v>
      </c>
      <c r="M28" t="n">
        <v>0.5</v>
      </c>
      <c r="N28" t="n">
        <v>1870.75</v>
      </c>
      <c r="P28" t="n">
        <v>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194</v>
      </c>
      <c r="C29" t="n">
        <v>194</v>
      </c>
      <c r="D29" t="n">
        <v>133</v>
      </c>
      <c r="E29" t="n">
        <v>2</v>
      </c>
      <c r="F29" t="n">
        <v>0</v>
      </c>
      <c r="G29" t="n">
        <v>194</v>
      </c>
      <c r="H29" t="n">
        <v>135</v>
      </c>
      <c r="I29" t="n">
        <v>0</v>
      </c>
      <c r="J29" t="n">
        <v>59</v>
      </c>
      <c r="K29" t="n">
        <v>0</v>
      </c>
      <c r="L29" t="n">
        <v>59</v>
      </c>
      <c r="M29" t="n">
        <v>59</v>
      </c>
      <c r="N29" t="n">
        <v>1929.75</v>
      </c>
      <c r="P29" t="n">
        <v>209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177</v>
      </c>
      <c r="C30" t="n">
        <v>177</v>
      </c>
      <c r="D30" t="n">
        <v>150</v>
      </c>
      <c r="E30" t="n">
        <v>0</v>
      </c>
      <c r="F30" t="n">
        <v>59</v>
      </c>
      <c r="G30" t="n">
        <v>236</v>
      </c>
      <c r="H30" t="n">
        <v>150</v>
      </c>
      <c r="I30" t="n">
        <v>0</v>
      </c>
      <c r="J30" t="n">
        <v>86</v>
      </c>
      <c r="K30" t="n">
        <v>0</v>
      </c>
      <c r="L30" t="n">
        <v>86</v>
      </c>
      <c r="M30" t="n">
        <v>86</v>
      </c>
      <c r="N30" t="n">
        <v>2015.75</v>
      </c>
      <c r="P30" t="n">
        <v>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233</v>
      </c>
      <c r="C31" t="n">
        <v>233</v>
      </c>
      <c r="D31" t="n">
        <v>260</v>
      </c>
      <c r="E31" t="n">
        <v>0</v>
      </c>
      <c r="F31" t="n">
        <v>86</v>
      </c>
      <c r="G31" t="n">
        <v>319</v>
      </c>
      <c r="H31" t="n">
        <v>260</v>
      </c>
      <c r="I31" t="n">
        <v>0</v>
      </c>
      <c r="J31" t="n">
        <v>59</v>
      </c>
      <c r="K31" t="n">
        <v>0</v>
      </c>
      <c r="L31" t="n">
        <v>59</v>
      </c>
      <c r="M31" t="n">
        <v>59</v>
      </c>
      <c r="N31" t="n">
        <v>2074.75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176</v>
      </c>
      <c r="C32" t="n">
        <v>176</v>
      </c>
      <c r="D32" t="n">
        <v>265</v>
      </c>
      <c r="E32" t="n">
        <v>0</v>
      </c>
      <c r="F32" t="n">
        <v>59</v>
      </c>
      <c r="G32" t="n">
        <v>235</v>
      </c>
      <c r="H32" t="n">
        <v>235</v>
      </c>
      <c r="I32" t="n">
        <v>30</v>
      </c>
      <c r="J32" t="n">
        <v>0</v>
      </c>
      <c r="K32" t="n">
        <v>7.5</v>
      </c>
      <c r="L32" t="n">
        <v>0</v>
      </c>
      <c r="M32" t="n">
        <v>7.5</v>
      </c>
      <c r="N32" t="n">
        <v>2082.25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208</v>
      </c>
      <c r="C33" t="n">
        <v>208</v>
      </c>
      <c r="D33" t="n">
        <v>209</v>
      </c>
      <c r="E33" t="n">
        <v>30</v>
      </c>
      <c r="F33" t="n">
        <v>0</v>
      </c>
      <c r="G33" t="n">
        <v>208</v>
      </c>
      <c r="H33" t="n">
        <v>208</v>
      </c>
      <c r="I33" t="n">
        <v>31</v>
      </c>
      <c r="J33" t="n">
        <v>0</v>
      </c>
      <c r="K33" t="n">
        <v>7.75</v>
      </c>
      <c r="L33" t="n">
        <v>0</v>
      </c>
      <c r="M33" t="n">
        <v>7.75</v>
      </c>
      <c r="N33" t="n">
        <v>2090</v>
      </c>
      <c r="P33" t="n">
        <v>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19</v>
      </c>
      <c r="C34" t="n">
        <v>19</v>
      </c>
      <c r="D34" t="n">
        <v>126</v>
      </c>
      <c r="E34" t="n">
        <v>31</v>
      </c>
      <c r="F34" t="n">
        <v>0</v>
      </c>
      <c r="G34" t="n">
        <v>19</v>
      </c>
      <c r="H34" t="n">
        <v>19</v>
      </c>
      <c r="I34" t="n">
        <v>138</v>
      </c>
      <c r="J34" t="n">
        <v>0</v>
      </c>
      <c r="K34" t="n">
        <v>34.5</v>
      </c>
      <c r="L34" t="n">
        <v>0</v>
      </c>
      <c r="M34" t="n">
        <v>34.5</v>
      </c>
      <c r="N34" t="n">
        <v>2124.5</v>
      </c>
      <c r="P34" t="n">
        <v>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138</v>
      </c>
      <c r="F35" t="n">
        <v>0</v>
      </c>
      <c r="G35" t="n">
        <v>0</v>
      </c>
      <c r="H35" t="n">
        <v>0</v>
      </c>
      <c r="I35" t="n">
        <v>138</v>
      </c>
      <c r="J35" t="n">
        <v>0</v>
      </c>
      <c r="K35" t="n">
        <v>34.5</v>
      </c>
      <c r="L35" t="n">
        <v>0</v>
      </c>
      <c r="M35" t="n">
        <v>34.5</v>
      </c>
      <c r="N35" t="n">
        <v>2159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138</v>
      </c>
      <c r="F36" t="n">
        <v>0</v>
      </c>
      <c r="G36" t="n">
        <v>0</v>
      </c>
      <c r="H36" t="n">
        <v>0</v>
      </c>
      <c r="I36" t="n">
        <v>138</v>
      </c>
      <c r="J36" t="n">
        <v>0</v>
      </c>
      <c r="K36" t="n">
        <v>34.5</v>
      </c>
      <c r="L36" t="n">
        <v>0</v>
      </c>
      <c r="M36" t="n">
        <v>34.5</v>
      </c>
      <c r="N36" t="n">
        <v>2193.5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200</v>
      </c>
      <c r="F4" t="n">
        <v>0</v>
      </c>
      <c r="G4" t="n">
        <v>100</v>
      </c>
      <c r="H4" t="n">
        <v>100</v>
      </c>
      <c r="I4" t="n">
        <v>100</v>
      </c>
      <c r="J4" t="n">
        <v>0</v>
      </c>
      <c r="K4" t="n">
        <v>25</v>
      </c>
      <c r="L4" t="n">
        <v>0</v>
      </c>
      <c r="M4" t="n">
        <v>25</v>
      </c>
      <c r="N4" t="n">
        <v>112.5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100</v>
      </c>
      <c r="F5" t="n">
        <v>0</v>
      </c>
      <c r="G5" t="n">
        <v>100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100</v>
      </c>
      <c r="C6" t="n">
        <v>100</v>
      </c>
      <c r="D6" t="n">
        <v>100</v>
      </c>
      <c r="E6" t="n">
        <v>0</v>
      </c>
      <c r="F6" t="n">
        <v>0</v>
      </c>
      <c r="G6" t="n">
        <v>100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112.5</v>
      </c>
      <c r="P6" t="n">
        <v>300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60</v>
      </c>
      <c r="C7" t="n">
        <v>60</v>
      </c>
      <c r="D7" t="n">
        <v>100</v>
      </c>
      <c r="E7" t="n">
        <v>0</v>
      </c>
      <c r="F7" t="n">
        <v>0</v>
      </c>
      <c r="G7" t="n">
        <v>60</v>
      </c>
      <c r="H7" t="n">
        <v>60</v>
      </c>
      <c r="I7" t="n">
        <v>40</v>
      </c>
      <c r="J7" t="n">
        <v>0</v>
      </c>
      <c r="K7" t="n">
        <v>10</v>
      </c>
      <c r="L7" t="n">
        <v>0</v>
      </c>
      <c r="M7" t="n">
        <v>10</v>
      </c>
      <c r="N7" t="n">
        <v>122.5</v>
      </c>
      <c r="P7" t="n">
        <v>360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96</v>
      </c>
      <c r="C8" t="n">
        <v>96</v>
      </c>
      <c r="D8" t="n">
        <v>100</v>
      </c>
      <c r="E8" t="n">
        <v>40</v>
      </c>
      <c r="F8" t="n">
        <v>0</v>
      </c>
      <c r="G8" t="n">
        <v>96</v>
      </c>
      <c r="H8" t="n">
        <v>96</v>
      </c>
      <c r="I8" t="n">
        <v>44</v>
      </c>
      <c r="J8" t="n">
        <v>0</v>
      </c>
      <c r="K8" t="n">
        <v>11</v>
      </c>
      <c r="L8" t="n">
        <v>0</v>
      </c>
      <c r="M8" t="n">
        <v>11</v>
      </c>
      <c r="N8" t="n">
        <v>133.5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120</v>
      </c>
      <c r="C9" t="n">
        <v>120</v>
      </c>
      <c r="D9" t="n">
        <v>300</v>
      </c>
      <c r="E9" t="n">
        <v>44</v>
      </c>
      <c r="F9" t="n">
        <v>0</v>
      </c>
      <c r="G9" t="n">
        <v>120</v>
      </c>
      <c r="H9" t="n">
        <v>120</v>
      </c>
      <c r="I9" t="n">
        <v>224</v>
      </c>
      <c r="J9" t="n">
        <v>0</v>
      </c>
      <c r="K9" t="n">
        <v>56</v>
      </c>
      <c r="L9" t="n">
        <v>0</v>
      </c>
      <c r="M9" t="n">
        <v>56</v>
      </c>
      <c r="N9" t="n">
        <v>189.5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196</v>
      </c>
      <c r="C10" t="n">
        <v>196</v>
      </c>
      <c r="D10" t="n">
        <v>300</v>
      </c>
      <c r="E10" t="n">
        <v>224</v>
      </c>
      <c r="F10" t="n">
        <v>0</v>
      </c>
      <c r="G10" t="n">
        <v>196</v>
      </c>
      <c r="H10" t="n">
        <v>196</v>
      </c>
      <c r="I10" t="n">
        <v>328</v>
      </c>
      <c r="J10" t="n">
        <v>0</v>
      </c>
      <c r="K10" t="n">
        <v>82</v>
      </c>
      <c r="L10" t="n">
        <v>0</v>
      </c>
      <c r="M10" t="n">
        <v>82</v>
      </c>
      <c r="N10" t="n">
        <v>271.5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304</v>
      </c>
      <c r="C11" t="n">
        <v>304</v>
      </c>
      <c r="D11" t="n">
        <v>300</v>
      </c>
      <c r="E11" t="n">
        <v>328</v>
      </c>
      <c r="F11" t="n">
        <v>0</v>
      </c>
      <c r="G11" t="n">
        <v>304</v>
      </c>
      <c r="H11" t="n">
        <v>304</v>
      </c>
      <c r="I11" t="n">
        <v>324</v>
      </c>
      <c r="J11" t="n">
        <v>0</v>
      </c>
      <c r="K11" t="n">
        <v>81</v>
      </c>
      <c r="L11" t="n">
        <v>0</v>
      </c>
      <c r="M11" t="n">
        <v>81</v>
      </c>
      <c r="N11" t="n">
        <v>352.5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252</v>
      </c>
      <c r="C12" t="n">
        <v>252</v>
      </c>
      <c r="D12" t="n">
        <v>0</v>
      </c>
      <c r="E12" t="n">
        <v>324</v>
      </c>
      <c r="F12" t="n">
        <v>0</v>
      </c>
      <c r="G12" t="n">
        <v>252</v>
      </c>
      <c r="H12" t="n">
        <v>252</v>
      </c>
      <c r="I12" t="n">
        <v>72</v>
      </c>
      <c r="J12" t="n">
        <v>0</v>
      </c>
      <c r="K12" t="n">
        <v>18</v>
      </c>
      <c r="L12" t="n">
        <v>0</v>
      </c>
      <c r="M12" t="n">
        <v>18</v>
      </c>
      <c r="N12" t="n">
        <v>370.5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116</v>
      </c>
      <c r="C13" t="n">
        <v>116</v>
      </c>
      <c r="D13" t="n">
        <v>60</v>
      </c>
      <c r="E13" t="n">
        <v>72</v>
      </c>
      <c r="F13" t="n">
        <v>0</v>
      </c>
      <c r="G13" t="n">
        <v>116</v>
      </c>
      <c r="H13" t="n">
        <v>116</v>
      </c>
      <c r="I13" t="n">
        <v>16</v>
      </c>
      <c r="J13" t="n">
        <v>0</v>
      </c>
      <c r="K13" t="n">
        <v>4</v>
      </c>
      <c r="L13" t="n">
        <v>0</v>
      </c>
      <c r="M13" t="n">
        <v>4</v>
      </c>
      <c r="N13" t="n">
        <v>374.5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16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n">
        <v>4</v>
      </c>
      <c r="L14" t="n">
        <v>0</v>
      </c>
      <c r="M14" t="n">
        <v>4</v>
      </c>
      <c r="N14" t="n">
        <v>378.5</v>
      </c>
      <c r="P14" t="n">
        <v>184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16</v>
      </c>
      <c r="F15" t="n">
        <v>0</v>
      </c>
      <c r="G15" t="n">
        <v>0</v>
      </c>
      <c r="H15" t="n">
        <v>0</v>
      </c>
      <c r="I15" t="n">
        <v>16</v>
      </c>
      <c r="J15" t="n">
        <v>0</v>
      </c>
      <c r="K15" t="n">
        <v>4</v>
      </c>
      <c r="L15" t="n">
        <v>0</v>
      </c>
      <c r="M15" t="n">
        <v>4</v>
      </c>
      <c r="N15" t="n">
        <v>382.5</v>
      </c>
      <c r="P15" t="n">
        <v>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16</v>
      </c>
      <c r="F16" t="n">
        <v>0</v>
      </c>
      <c r="G16" t="n">
        <v>0</v>
      </c>
      <c r="H16" t="n">
        <v>0</v>
      </c>
      <c r="I16" t="n">
        <v>16</v>
      </c>
      <c r="J16" t="n">
        <v>0</v>
      </c>
      <c r="K16" t="n">
        <v>4</v>
      </c>
      <c r="L16" t="n">
        <v>0</v>
      </c>
      <c r="M16" t="n">
        <v>4</v>
      </c>
      <c r="N16" t="n">
        <v>386.5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112</v>
      </c>
      <c r="C17" t="n">
        <v>112</v>
      </c>
      <c r="D17" t="n">
        <v>84</v>
      </c>
      <c r="E17" t="n">
        <v>16</v>
      </c>
      <c r="F17" t="n">
        <v>0</v>
      </c>
      <c r="G17" t="n">
        <v>112</v>
      </c>
      <c r="H17" t="n">
        <v>100</v>
      </c>
      <c r="I17" t="n">
        <v>0</v>
      </c>
      <c r="J17" t="n">
        <v>12</v>
      </c>
      <c r="K17" t="n">
        <v>0</v>
      </c>
      <c r="L17" t="n">
        <v>12</v>
      </c>
      <c r="M17" t="n">
        <v>12</v>
      </c>
      <c r="N17" t="n">
        <v>398.5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112</v>
      </c>
      <c r="C18" t="n">
        <v>112</v>
      </c>
      <c r="D18" t="n">
        <v>184</v>
      </c>
      <c r="E18" t="n">
        <v>0</v>
      </c>
      <c r="F18" t="n">
        <v>12</v>
      </c>
      <c r="G18" t="n">
        <v>124</v>
      </c>
      <c r="H18" t="n">
        <v>124</v>
      </c>
      <c r="I18" t="n">
        <v>60</v>
      </c>
      <c r="J18" t="n">
        <v>0</v>
      </c>
      <c r="K18" t="n">
        <v>15</v>
      </c>
      <c r="L18" t="n">
        <v>0</v>
      </c>
      <c r="M18" t="n">
        <v>15</v>
      </c>
      <c r="N18" t="n">
        <v>413.5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128</v>
      </c>
      <c r="C19" t="n">
        <v>128</v>
      </c>
      <c r="D19" t="n">
        <v>32</v>
      </c>
      <c r="E19" t="n">
        <v>60</v>
      </c>
      <c r="F19" t="n">
        <v>0</v>
      </c>
      <c r="G19" t="n">
        <v>128</v>
      </c>
      <c r="H19" t="n">
        <v>92</v>
      </c>
      <c r="I19" t="n">
        <v>0</v>
      </c>
      <c r="J19" t="n">
        <v>36</v>
      </c>
      <c r="K19" t="n">
        <v>0</v>
      </c>
      <c r="L19" t="n">
        <v>36</v>
      </c>
      <c r="M19" t="n">
        <v>36</v>
      </c>
      <c r="N19" t="n">
        <v>449.5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28</v>
      </c>
      <c r="C20" t="n">
        <v>28</v>
      </c>
      <c r="D20" t="n">
        <v>52</v>
      </c>
      <c r="E20" t="n">
        <v>0</v>
      </c>
      <c r="F20" t="n">
        <v>36</v>
      </c>
      <c r="G20" t="n">
        <v>64</v>
      </c>
      <c r="H20" t="n">
        <v>52</v>
      </c>
      <c r="I20" t="n">
        <v>0</v>
      </c>
      <c r="J20" t="n">
        <v>12</v>
      </c>
      <c r="K20" t="n">
        <v>0</v>
      </c>
      <c r="L20" t="n">
        <v>12</v>
      </c>
      <c r="M20" t="n">
        <v>12</v>
      </c>
      <c r="N20" t="n">
        <v>461.5</v>
      </c>
      <c r="P20" t="n">
        <v>112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12</v>
      </c>
      <c r="G21" t="n">
        <v>12</v>
      </c>
      <c r="H21" t="n">
        <v>0</v>
      </c>
      <c r="I21" t="n">
        <v>0</v>
      </c>
      <c r="J21" t="n">
        <v>12</v>
      </c>
      <c r="K21" t="n">
        <v>0</v>
      </c>
      <c r="L21" t="n">
        <v>12</v>
      </c>
      <c r="M21" t="n">
        <v>12</v>
      </c>
      <c r="N21" t="n">
        <v>473.5</v>
      </c>
      <c r="P21" t="n">
        <v>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12</v>
      </c>
      <c r="C22" t="n">
        <v>12</v>
      </c>
      <c r="D22" t="n">
        <v>8</v>
      </c>
      <c r="E22" t="n">
        <v>0</v>
      </c>
      <c r="F22" t="n">
        <v>12</v>
      </c>
      <c r="G22" t="n">
        <v>24</v>
      </c>
      <c r="H22" t="n">
        <v>8</v>
      </c>
      <c r="I22" t="n">
        <v>0</v>
      </c>
      <c r="J22" t="n">
        <v>16</v>
      </c>
      <c r="K22" t="n">
        <v>0</v>
      </c>
      <c r="L22" t="n">
        <v>16</v>
      </c>
      <c r="M22" t="n">
        <v>16</v>
      </c>
      <c r="N22" t="n">
        <v>489.5</v>
      </c>
      <c r="P22" t="n">
        <v>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60</v>
      </c>
      <c r="C23" t="n">
        <v>60</v>
      </c>
      <c r="D23" t="n">
        <v>84</v>
      </c>
      <c r="E23" t="n">
        <v>0</v>
      </c>
      <c r="F23" t="n">
        <v>16</v>
      </c>
      <c r="G23" t="n">
        <v>76</v>
      </c>
      <c r="H23" t="n">
        <v>76</v>
      </c>
      <c r="I23" t="n">
        <v>8</v>
      </c>
      <c r="J23" t="n">
        <v>0</v>
      </c>
      <c r="K23" t="n">
        <v>2</v>
      </c>
      <c r="L23" t="n">
        <v>0</v>
      </c>
      <c r="M23" t="n">
        <v>2</v>
      </c>
      <c r="N23" t="n">
        <v>491.5</v>
      </c>
      <c r="P23" t="n">
        <v>180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60</v>
      </c>
      <c r="C24" t="n">
        <v>60</v>
      </c>
      <c r="D24" t="n">
        <v>112</v>
      </c>
      <c r="E24" t="n">
        <v>8</v>
      </c>
      <c r="F24" t="n">
        <v>0</v>
      </c>
      <c r="G24" t="n">
        <v>60</v>
      </c>
      <c r="H24" t="n">
        <v>60</v>
      </c>
      <c r="I24" t="n">
        <v>60</v>
      </c>
      <c r="J24" t="n">
        <v>0</v>
      </c>
      <c r="K24" t="n">
        <v>15</v>
      </c>
      <c r="L24" t="n">
        <v>0</v>
      </c>
      <c r="M24" t="n">
        <v>15</v>
      </c>
      <c r="N24" t="n">
        <v>506.5</v>
      </c>
      <c r="P24" t="n">
        <v>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112</v>
      </c>
      <c r="C25" t="n">
        <v>112</v>
      </c>
      <c r="D25" t="n">
        <v>188</v>
      </c>
      <c r="E25" t="n">
        <v>60</v>
      </c>
      <c r="F25" t="n">
        <v>0</v>
      </c>
      <c r="G25" t="n">
        <v>112</v>
      </c>
      <c r="H25" t="n">
        <v>112</v>
      </c>
      <c r="I25" t="n">
        <v>136</v>
      </c>
      <c r="J25" t="n">
        <v>0</v>
      </c>
      <c r="K25" t="n">
        <v>34</v>
      </c>
      <c r="L25" t="n">
        <v>0</v>
      </c>
      <c r="M25" t="n">
        <v>34</v>
      </c>
      <c r="N25" t="n">
        <v>540.5</v>
      </c>
      <c r="P25" t="n">
        <v>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73</v>
      </c>
      <c r="C26" t="n">
        <v>73</v>
      </c>
      <c r="D26" t="n">
        <v>0</v>
      </c>
      <c r="E26" t="n">
        <v>136</v>
      </c>
      <c r="F26" t="n">
        <v>0</v>
      </c>
      <c r="G26" t="n">
        <v>73</v>
      </c>
      <c r="H26" t="n">
        <v>73</v>
      </c>
      <c r="I26" t="n">
        <v>63</v>
      </c>
      <c r="J26" t="n">
        <v>0</v>
      </c>
      <c r="K26" t="n">
        <v>15.75</v>
      </c>
      <c r="L26" t="n">
        <v>0</v>
      </c>
      <c r="M26" t="n">
        <v>15.75</v>
      </c>
      <c r="N26" t="n">
        <v>556.25</v>
      </c>
      <c r="P26" t="n">
        <v>221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133</v>
      </c>
      <c r="C27" t="n">
        <v>133</v>
      </c>
      <c r="D27" t="n">
        <v>216</v>
      </c>
      <c r="E27" t="n">
        <v>63</v>
      </c>
      <c r="F27" t="n">
        <v>0</v>
      </c>
      <c r="G27" t="n">
        <v>133</v>
      </c>
      <c r="H27" t="n">
        <v>133</v>
      </c>
      <c r="I27" t="n">
        <v>146</v>
      </c>
      <c r="J27" t="n">
        <v>0</v>
      </c>
      <c r="K27" t="n">
        <v>36.5</v>
      </c>
      <c r="L27" t="n">
        <v>0</v>
      </c>
      <c r="M27" t="n">
        <v>36.5</v>
      </c>
      <c r="N27" t="n">
        <v>592.75</v>
      </c>
      <c r="P27" t="n">
        <v>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150</v>
      </c>
      <c r="C28" t="n">
        <v>150</v>
      </c>
      <c r="D28" t="n">
        <v>32</v>
      </c>
      <c r="E28" t="n">
        <v>146</v>
      </c>
      <c r="F28" t="n">
        <v>0</v>
      </c>
      <c r="G28" t="n">
        <v>150</v>
      </c>
      <c r="H28" t="n">
        <v>150</v>
      </c>
      <c r="I28" t="n">
        <v>28</v>
      </c>
      <c r="J28" t="n">
        <v>0</v>
      </c>
      <c r="K28" t="n">
        <v>7</v>
      </c>
      <c r="L28" t="n">
        <v>0</v>
      </c>
      <c r="M28" t="n">
        <v>7</v>
      </c>
      <c r="N28" t="n">
        <v>599.75</v>
      </c>
      <c r="P28" t="n">
        <v>176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260</v>
      </c>
      <c r="C29" t="n">
        <v>260</v>
      </c>
      <c r="D29" t="n">
        <v>296</v>
      </c>
      <c r="E29" t="n">
        <v>28</v>
      </c>
      <c r="F29" t="n">
        <v>0</v>
      </c>
      <c r="G29" t="n">
        <v>260</v>
      </c>
      <c r="H29" t="n">
        <v>260</v>
      </c>
      <c r="I29" t="n">
        <v>64</v>
      </c>
      <c r="J29" t="n">
        <v>0</v>
      </c>
      <c r="K29" t="n">
        <v>16</v>
      </c>
      <c r="L29" t="n">
        <v>0</v>
      </c>
      <c r="M29" t="n">
        <v>16</v>
      </c>
      <c r="N29" t="n">
        <v>615.75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265</v>
      </c>
      <c r="C30" t="n">
        <v>265</v>
      </c>
      <c r="D30" t="n">
        <v>221</v>
      </c>
      <c r="E30" t="n">
        <v>64</v>
      </c>
      <c r="F30" t="n">
        <v>0</v>
      </c>
      <c r="G30" t="n">
        <v>265</v>
      </c>
      <c r="H30" t="n">
        <v>265</v>
      </c>
      <c r="I30" t="n">
        <v>20</v>
      </c>
      <c r="J30" t="n">
        <v>0</v>
      </c>
      <c r="K30" t="n">
        <v>5</v>
      </c>
      <c r="L30" t="n">
        <v>0</v>
      </c>
      <c r="M30" t="n">
        <v>5</v>
      </c>
      <c r="N30" t="n">
        <v>620.75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209</v>
      </c>
      <c r="C31" t="n">
        <v>209</v>
      </c>
      <c r="D31" t="n">
        <v>279</v>
      </c>
      <c r="E31" t="n">
        <v>20</v>
      </c>
      <c r="F31" t="n">
        <v>0</v>
      </c>
      <c r="G31" t="n">
        <v>209</v>
      </c>
      <c r="H31" t="n">
        <v>209</v>
      </c>
      <c r="I31" t="n">
        <v>90</v>
      </c>
      <c r="J31" t="n">
        <v>0</v>
      </c>
      <c r="K31" t="n">
        <v>22.5</v>
      </c>
      <c r="L31" t="n">
        <v>0</v>
      </c>
      <c r="M31" t="n">
        <v>22.5</v>
      </c>
      <c r="N31" t="n">
        <v>643.25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126</v>
      </c>
      <c r="C32" t="n">
        <v>126</v>
      </c>
      <c r="D32" t="n">
        <v>219</v>
      </c>
      <c r="E32" t="n">
        <v>90</v>
      </c>
      <c r="F32" t="n">
        <v>0</v>
      </c>
      <c r="G32" t="n">
        <v>126</v>
      </c>
      <c r="H32" t="n">
        <v>126</v>
      </c>
      <c r="I32" t="n">
        <v>183</v>
      </c>
      <c r="J32" t="n">
        <v>0</v>
      </c>
      <c r="K32" t="n">
        <v>45.75</v>
      </c>
      <c r="L32" t="n">
        <v>0</v>
      </c>
      <c r="M32" t="n">
        <v>45.75</v>
      </c>
      <c r="N32" t="n">
        <v>689</v>
      </c>
      <c r="P32" t="n">
        <v>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183</v>
      </c>
      <c r="F33" t="n">
        <v>0</v>
      </c>
      <c r="G33" t="n">
        <v>0</v>
      </c>
      <c r="H33" t="n">
        <v>0</v>
      </c>
      <c r="I33" t="n">
        <v>183</v>
      </c>
      <c r="J33" t="n">
        <v>0</v>
      </c>
      <c r="K33" t="n">
        <v>45.75</v>
      </c>
      <c r="L33" t="n">
        <v>0</v>
      </c>
      <c r="M33" t="n">
        <v>45.75</v>
      </c>
      <c r="N33" t="n">
        <v>734.75</v>
      </c>
      <c r="P33" t="n">
        <v>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183</v>
      </c>
      <c r="F34" t="n">
        <v>0</v>
      </c>
      <c r="G34" t="n">
        <v>0</v>
      </c>
      <c r="H34" t="n">
        <v>0</v>
      </c>
      <c r="I34" t="n">
        <v>183</v>
      </c>
      <c r="J34" t="n">
        <v>0</v>
      </c>
      <c r="K34" t="n">
        <v>45.75</v>
      </c>
      <c r="L34" t="n">
        <v>0</v>
      </c>
      <c r="M34" t="n">
        <v>45.75</v>
      </c>
      <c r="N34" t="n">
        <v>780.5</v>
      </c>
      <c r="P34" t="n">
        <v>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43</v>
      </c>
      <c r="C35" t="n">
        <v>43</v>
      </c>
      <c r="D35" t="n">
        <v>0</v>
      </c>
      <c r="E35" t="n">
        <v>183</v>
      </c>
      <c r="F35" t="n">
        <v>0</v>
      </c>
      <c r="G35" t="n">
        <v>43</v>
      </c>
      <c r="H35" t="n">
        <v>43</v>
      </c>
      <c r="I35" t="n">
        <v>140</v>
      </c>
      <c r="J35" t="n">
        <v>0</v>
      </c>
      <c r="K35" t="n">
        <v>35</v>
      </c>
      <c r="L35" t="n">
        <v>0</v>
      </c>
      <c r="M35" t="n">
        <v>35</v>
      </c>
      <c r="N35" t="n">
        <v>815.5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162</v>
      </c>
      <c r="C36" t="n">
        <v>162</v>
      </c>
      <c r="D36" t="n">
        <v>17</v>
      </c>
      <c r="E36" t="n">
        <v>140</v>
      </c>
      <c r="F36" t="n">
        <v>0</v>
      </c>
      <c r="G36" t="n">
        <v>162</v>
      </c>
      <c r="H36" t="n">
        <v>157</v>
      </c>
      <c r="I36" t="n">
        <v>0</v>
      </c>
      <c r="J36" t="n">
        <v>5</v>
      </c>
      <c r="K36" t="n">
        <v>0</v>
      </c>
      <c r="L36" t="n">
        <v>5</v>
      </c>
      <c r="M36" t="n">
        <v>5</v>
      </c>
      <c r="N36" t="n">
        <v>820.5</v>
      </c>
      <c r="P36" t="n">
        <v>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200</v>
      </c>
      <c r="E4" t="n">
        <v>200</v>
      </c>
      <c r="F4" t="n">
        <v>0</v>
      </c>
      <c r="G4" t="n">
        <v>100</v>
      </c>
      <c r="H4" t="n">
        <v>100</v>
      </c>
      <c r="I4" t="n">
        <v>300</v>
      </c>
      <c r="J4" t="n">
        <v>0</v>
      </c>
      <c r="K4" t="n">
        <v>75</v>
      </c>
      <c r="L4" t="n">
        <v>0</v>
      </c>
      <c r="M4" t="n">
        <v>75</v>
      </c>
      <c r="N4" t="n">
        <v>162.5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300</v>
      </c>
      <c r="F5" t="n">
        <v>0</v>
      </c>
      <c r="G5" t="n">
        <v>100</v>
      </c>
      <c r="H5" t="n">
        <v>100</v>
      </c>
      <c r="I5" t="n">
        <v>200</v>
      </c>
      <c r="J5" t="n">
        <v>0</v>
      </c>
      <c r="K5" t="n">
        <v>50</v>
      </c>
      <c r="L5" t="n">
        <v>0</v>
      </c>
      <c r="M5" t="n">
        <v>50</v>
      </c>
      <c r="N5" t="n">
        <v>212.5</v>
      </c>
      <c r="P5" t="n">
        <v>400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100</v>
      </c>
      <c r="C6" t="n">
        <v>100</v>
      </c>
      <c r="D6" t="n">
        <v>0</v>
      </c>
      <c r="E6" t="n">
        <v>200</v>
      </c>
      <c r="F6" t="n">
        <v>0</v>
      </c>
      <c r="G6" t="n">
        <v>100</v>
      </c>
      <c r="H6" t="n">
        <v>100</v>
      </c>
      <c r="I6" t="n">
        <v>100</v>
      </c>
      <c r="J6" t="n">
        <v>0</v>
      </c>
      <c r="K6" t="n">
        <v>25</v>
      </c>
      <c r="L6" t="n">
        <v>0</v>
      </c>
      <c r="M6" t="n">
        <v>25</v>
      </c>
      <c r="N6" t="n">
        <v>237.5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400</v>
      </c>
      <c r="E7" t="n">
        <v>100</v>
      </c>
      <c r="F7" t="n">
        <v>0</v>
      </c>
      <c r="G7" t="n">
        <v>300</v>
      </c>
      <c r="H7" t="n">
        <v>300</v>
      </c>
      <c r="I7" t="n">
        <v>200</v>
      </c>
      <c r="J7" t="n">
        <v>0</v>
      </c>
      <c r="K7" t="n">
        <v>50</v>
      </c>
      <c r="L7" t="n">
        <v>0</v>
      </c>
      <c r="M7" t="n">
        <v>50</v>
      </c>
      <c r="N7" t="n">
        <v>287.5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300</v>
      </c>
      <c r="C8" t="n">
        <v>300</v>
      </c>
      <c r="D8" t="n">
        <v>100</v>
      </c>
      <c r="E8" t="n">
        <v>200</v>
      </c>
      <c r="F8" t="n">
        <v>0</v>
      </c>
      <c r="G8" t="n">
        <v>300</v>
      </c>
      <c r="H8" t="n">
        <v>300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287.5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360</v>
      </c>
      <c r="C9" t="n">
        <v>360</v>
      </c>
      <c r="D9" t="n">
        <v>300</v>
      </c>
      <c r="E9" t="n">
        <v>0</v>
      </c>
      <c r="F9" t="n">
        <v>0</v>
      </c>
      <c r="G9" t="n">
        <v>360</v>
      </c>
      <c r="H9" t="n">
        <v>300</v>
      </c>
      <c r="I9" t="n">
        <v>0</v>
      </c>
      <c r="J9" t="n">
        <v>60</v>
      </c>
      <c r="K9" t="n">
        <v>0</v>
      </c>
      <c r="L9" t="n">
        <v>60</v>
      </c>
      <c r="M9" t="n">
        <v>60</v>
      </c>
      <c r="N9" t="n">
        <v>347.5</v>
      </c>
      <c r="P9" t="n">
        <v>160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60</v>
      </c>
      <c r="G10" t="n">
        <v>60</v>
      </c>
      <c r="H10" t="n">
        <v>0</v>
      </c>
      <c r="I10" t="n">
        <v>0</v>
      </c>
      <c r="J10" t="n">
        <v>60</v>
      </c>
      <c r="K10" t="n">
        <v>0</v>
      </c>
      <c r="L10" t="n">
        <v>60</v>
      </c>
      <c r="M10" t="n">
        <v>60</v>
      </c>
      <c r="N10" t="n">
        <v>407.5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0</v>
      </c>
      <c r="C11" t="n">
        <v>0</v>
      </c>
      <c r="D11" t="n">
        <v>160</v>
      </c>
      <c r="E11" t="n">
        <v>0</v>
      </c>
      <c r="F11" t="n">
        <v>60</v>
      </c>
      <c r="G11" t="n">
        <v>60</v>
      </c>
      <c r="H11" t="n">
        <v>60</v>
      </c>
      <c r="I11" t="n">
        <v>100</v>
      </c>
      <c r="J11" t="n">
        <v>0</v>
      </c>
      <c r="K11" t="n">
        <v>25</v>
      </c>
      <c r="L11" t="n">
        <v>0</v>
      </c>
      <c r="M11" t="n">
        <v>25</v>
      </c>
      <c r="N11" t="n">
        <v>432.5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100</v>
      </c>
      <c r="F12" t="n">
        <v>0</v>
      </c>
      <c r="G12" t="n">
        <v>0</v>
      </c>
      <c r="H12" t="n">
        <v>0</v>
      </c>
      <c r="I12" t="n">
        <v>100</v>
      </c>
      <c r="J12" t="n">
        <v>0</v>
      </c>
      <c r="K12" t="n">
        <v>25</v>
      </c>
      <c r="L12" t="n">
        <v>0</v>
      </c>
      <c r="M12" t="n">
        <v>25</v>
      </c>
      <c r="N12" t="n">
        <v>457.5</v>
      </c>
      <c r="P12" t="n">
        <v>100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100</v>
      </c>
      <c r="F13" t="n">
        <v>0</v>
      </c>
      <c r="G13" t="n">
        <v>0</v>
      </c>
      <c r="H13" t="n">
        <v>0</v>
      </c>
      <c r="I13" t="n">
        <v>100</v>
      </c>
      <c r="J13" t="n">
        <v>0</v>
      </c>
      <c r="K13" t="n">
        <v>25</v>
      </c>
      <c r="L13" t="n">
        <v>0</v>
      </c>
      <c r="M13" t="n">
        <v>25</v>
      </c>
      <c r="N13" t="n">
        <v>482.5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</v>
      </c>
      <c r="C14" t="n">
        <v>0</v>
      </c>
      <c r="D14" t="n">
        <v>100</v>
      </c>
      <c r="E14" t="n">
        <v>100</v>
      </c>
      <c r="F14" t="n">
        <v>0</v>
      </c>
      <c r="G14" t="n">
        <v>0</v>
      </c>
      <c r="H14" t="n">
        <v>0</v>
      </c>
      <c r="I14" t="n">
        <v>200</v>
      </c>
      <c r="J14" t="n">
        <v>0</v>
      </c>
      <c r="K14" t="n">
        <v>50</v>
      </c>
      <c r="L14" t="n">
        <v>0</v>
      </c>
      <c r="M14" t="n">
        <v>50</v>
      </c>
      <c r="N14" t="n">
        <v>532.5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84</v>
      </c>
      <c r="C15" t="n">
        <v>84</v>
      </c>
      <c r="D15" t="n">
        <v>0</v>
      </c>
      <c r="E15" t="n">
        <v>200</v>
      </c>
      <c r="F15" t="n">
        <v>0</v>
      </c>
      <c r="G15" t="n">
        <v>84</v>
      </c>
      <c r="H15" t="n">
        <v>84</v>
      </c>
      <c r="I15" t="n">
        <v>116</v>
      </c>
      <c r="J15" t="n">
        <v>0</v>
      </c>
      <c r="K15" t="n">
        <v>29</v>
      </c>
      <c r="L15" t="n">
        <v>0</v>
      </c>
      <c r="M15" t="n">
        <v>29</v>
      </c>
      <c r="N15" t="n">
        <v>561.5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184</v>
      </c>
      <c r="C16" t="n">
        <v>184</v>
      </c>
      <c r="D16" t="n">
        <v>100</v>
      </c>
      <c r="E16" t="n">
        <v>116</v>
      </c>
      <c r="F16" t="n">
        <v>0</v>
      </c>
      <c r="G16" t="n">
        <v>184</v>
      </c>
      <c r="H16" t="n">
        <v>184</v>
      </c>
      <c r="I16" t="n">
        <v>32</v>
      </c>
      <c r="J16" t="n">
        <v>0</v>
      </c>
      <c r="K16" t="n">
        <v>8</v>
      </c>
      <c r="L16" t="n">
        <v>0</v>
      </c>
      <c r="M16" t="n">
        <v>8</v>
      </c>
      <c r="N16" t="n">
        <v>569.5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84</v>
      </c>
      <c r="C17" t="n">
        <v>84</v>
      </c>
      <c r="D17" t="n">
        <v>0</v>
      </c>
      <c r="E17" t="n">
        <v>32</v>
      </c>
      <c r="F17" t="n">
        <v>0</v>
      </c>
      <c r="G17" t="n">
        <v>84</v>
      </c>
      <c r="H17" t="n">
        <v>32</v>
      </c>
      <c r="I17" t="n">
        <v>0</v>
      </c>
      <c r="J17" t="n">
        <v>52</v>
      </c>
      <c r="K17" t="n">
        <v>0</v>
      </c>
      <c r="L17" t="n">
        <v>52</v>
      </c>
      <c r="M17" t="n">
        <v>52</v>
      </c>
      <c r="N17" t="n">
        <v>621.5</v>
      </c>
      <c r="P17" t="n">
        <v>184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68</v>
      </c>
      <c r="E18" t="n">
        <v>0</v>
      </c>
      <c r="F18" t="n">
        <v>52</v>
      </c>
      <c r="G18" t="n">
        <v>52</v>
      </c>
      <c r="H18" t="n">
        <v>52</v>
      </c>
      <c r="I18" t="n">
        <v>16</v>
      </c>
      <c r="J18" t="n">
        <v>0</v>
      </c>
      <c r="K18" t="n">
        <v>4</v>
      </c>
      <c r="L18" t="n">
        <v>0</v>
      </c>
      <c r="M18" t="n">
        <v>4</v>
      </c>
      <c r="N18" t="n">
        <v>625.5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184</v>
      </c>
      <c r="E19" t="n">
        <v>16</v>
      </c>
      <c r="F19" t="n">
        <v>0</v>
      </c>
      <c r="G19" t="n">
        <v>0</v>
      </c>
      <c r="H19" t="n">
        <v>0</v>
      </c>
      <c r="I19" t="n">
        <v>200</v>
      </c>
      <c r="J19" t="n">
        <v>0</v>
      </c>
      <c r="K19" t="n">
        <v>50</v>
      </c>
      <c r="L19" t="n">
        <v>0</v>
      </c>
      <c r="M19" t="n">
        <v>50</v>
      </c>
      <c r="N19" t="n">
        <v>675.5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8</v>
      </c>
      <c r="C20" t="n">
        <v>8</v>
      </c>
      <c r="D20" t="n">
        <v>0</v>
      </c>
      <c r="E20" t="n">
        <v>200</v>
      </c>
      <c r="F20" t="n">
        <v>0</v>
      </c>
      <c r="G20" t="n">
        <v>8</v>
      </c>
      <c r="H20" t="n">
        <v>8</v>
      </c>
      <c r="I20" t="n">
        <v>192</v>
      </c>
      <c r="J20" t="n">
        <v>0</v>
      </c>
      <c r="K20" t="n">
        <v>48</v>
      </c>
      <c r="L20" t="n">
        <v>0</v>
      </c>
      <c r="M20" t="n">
        <v>48</v>
      </c>
      <c r="N20" t="n">
        <v>723.5</v>
      </c>
      <c r="P20" t="n">
        <v>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84</v>
      </c>
      <c r="C21" t="n">
        <v>84</v>
      </c>
      <c r="D21" t="n">
        <v>0</v>
      </c>
      <c r="E21" t="n">
        <v>192</v>
      </c>
      <c r="F21" t="n">
        <v>0</v>
      </c>
      <c r="G21" t="n">
        <v>84</v>
      </c>
      <c r="H21" t="n">
        <v>84</v>
      </c>
      <c r="I21" t="n">
        <v>108</v>
      </c>
      <c r="J21" t="n">
        <v>0</v>
      </c>
      <c r="K21" t="n">
        <v>27</v>
      </c>
      <c r="L21" t="n">
        <v>0</v>
      </c>
      <c r="M21" t="n">
        <v>27</v>
      </c>
      <c r="N21" t="n">
        <v>750.5</v>
      </c>
      <c r="P21" t="n">
        <v>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112</v>
      </c>
      <c r="C22" t="n">
        <v>112</v>
      </c>
      <c r="D22" t="n">
        <v>8</v>
      </c>
      <c r="E22" t="n">
        <v>108</v>
      </c>
      <c r="F22" t="n">
        <v>0</v>
      </c>
      <c r="G22" t="n">
        <v>112</v>
      </c>
      <c r="H22" t="n">
        <v>112</v>
      </c>
      <c r="I22" t="n">
        <v>4</v>
      </c>
      <c r="J22" t="n">
        <v>0</v>
      </c>
      <c r="K22" t="n">
        <v>1</v>
      </c>
      <c r="L22" t="n">
        <v>0</v>
      </c>
      <c r="M22" t="n">
        <v>1</v>
      </c>
      <c r="N22" t="n">
        <v>751.5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204</v>
      </c>
      <c r="C23" t="n">
        <v>204</v>
      </c>
      <c r="D23" t="n">
        <v>184</v>
      </c>
      <c r="E23" t="n">
        <v>4</v>
      </c>
      <c r="F23" t="n">
        <v>0</v>
      </c>
      <c r="G23" t="n">
        <v>204</v>
      </c>
      <c r="H23" t="n">
        <v>188</v>
      </c>
      <c r="I23" t="n">
        <v>0</v>
      </c>
      <c r="J23" t="n">
        <v>16</v>
      </c>
      <c r="K23" t="n">
        <v>0</v>
      </c>
      <c r="L23" t="n">
        <v>16</v>
      </c>
      <c r="M23" t="n">
        <v>16</v>
      </c>
      <c r="N23" t="n">
        <v>767.5</v>
      </c>
      <c r="P23" t="n">
        <v>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32</v>
      </c>
      <c r="C24" t="n">
        <v>32</v>
      </c>
      <c r="D24" t="n">
        <v>0</v>
      </c>
      <c r="E24" t="n">
        <v>0</v>
      </c>
      <c r="F24" t="n">
        <v>16</v>
      </c>
      <c r="G24" t="n">
        <v>48</v>
      </c>
      <c r="H24" t="n">
        <v>0</v>
      </c>
      <c r="I24" t="n">
        <v>0</v>
      </c>
      <c r="J24" t="n">
        <v>48</v>
      </c>
      <c r="K24" t="n">
        <v>0</v>
      </c>
      <c r="L24" t="n">
        <v>48</v>
      </c>
      <c r="M24" t="n">
        <v>48</v>
      </c>
      <c r="N24" t="n">
        <v>815.5</v>
      </c>
      <c r="P24" t="n">
        <v>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180</v>
      </c>
      <c r="C25" t="n">
        <v>180</v>
      </c>
      <c r="D25" t="n">
        <v>216</v>
      </c>
      <c r="E25" t="n">
        <v>0</v>
      </c>
      <c r="F25" t="n">
        <v>48</v>
      </c>
      <c r="G25" t="n">
        <v>228</v>
      </c>
      <c r="H25" t="n">
        <v>216</v>
      </c>
      <c r="I25" t="n">
        <v>0</v>
      </c>
      <c r="J25" t="n">
        <v>12</v>
      </c>
      <c r="K25" t="n">
        <v>0</v>
      </c>
      <c r="L25" t="n">
        <v>12</v>
      </c>
      <c r="M25" t="n">
        <v>12</v>
      </c>
      <c r="N25" t="n">
        <v>827.5</v>
      </c>
      <c r="P25" t="n">
        <v>380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52</v>
      </c>
      <c r="C26" t="n">
        <v>52</v>
      </c>
      <c r="D26" t="n">
        <v>32</v>
      </c>
      <c r="E26" t="n">
        <v>0</v>
      </c>
      <c r="F26" t="n">
        <v>12</v>
      </c>
      <c r="G26" t="n">
        <v>64</v>
      </c>
      <c r="H26" t="n">
        <v>32</v>
      </c>
      <c r="I26" t="n">
        <v>0</v>
      </c>
      <c r="J26" t="n">
        <v>32</v>
      </c>
      <c r="K26" t="n">
        <v>0</v>
      </c>
      <c r="L26" t="n">
        <v>32</v>
      </c>
      <c r="M26" t="n">
        <v>32</v>
      </c>
      <c r="N26" t="n">
        <v>859.5</v>
      </c>
      <c r="P26" t="n">
        <v>152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264</v>
      </c>
      <c r="C27" t="n">
        <v>264</v>
      </c>
      <c r="D27" t="n">
        <v>380</v>
      </c>
      <c r="E27" t="n">
        <v>0</v>
      </c>
      <c r="F27" t="n">
        <v>32</v>
      </c>
      <c r="G27" t="n">
        <v>296</v>
      </c>
      <c r="H27" t="n">
        <v>296</v>
      </c>
      <c r="I27" t="n">
        <v>84</v>
      </c>
      <c r="J27" t="n">
        <v>0</v>
      </c>
      <c r="K27" t="n">
        <v>21</v>
      </c>
      <c r="L27" t="n">
        <v>0</v>
      </c>
      <c r="M27" t="n">
        <v>21</v>
      </c>
      <c r="N27" t="n">
        <v>880.5</v>
      </c>
      <c r="P27" t="n">
        <v>264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221</v>
      </c>
      <c r="C28" t="n">
        <v>221</v>
      </c>
      <c r="D28" t="n">
        <v>152</v>
      </c>
      <c r="E28" t="n">
        <v>84</v>
      </c>
      <c r="F28" t="n">
        <v>0</v>
      </c>
      <c r="G28" t="n">
        <v>221</v>
      </c>
      <c r="H28" t="n">
        <v>221</v>
      </c>
      <c r="I28" t="n">
        <v>15</v>
      </c>
      <c r="J28" t="n">
        <v>0</v>
      </c>
      <c r="K28" t="n">
        <v>3.75</v>
      </c>
      <c r="L28" t="n">
        <v>0</v>
      </c>
      <c r="M28" t="n">
        <v>3.75</v>
      </c>
      <c r="N28" t="n">
        <v>884.25</v>
      </c>
      <c r="P28" t="n">
        <v>221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322</v>
      </c>
      <c r="C29" t="n">
        <v>322</v>
      </c>
      <c r="D29" t="n">
        <v>264</v>
      </c>
      <c r="E29" t="n">
        <v>15</v>
      </c>
      <c r="F29" t="n">
        <v>0</v>
      </c>
      <c r="G29" t="n">
        <v>322</v>
      </c>
      <c r="H29" t="n">
        <v>279</v>
      </c>
      <c r="I29" t="n">
        <v>0</v>
      </c>
      <c r="J29" t="n">
        <v>43</v>
      </c>
      <c r="K29" t="n">
        <v>0</v>
      </c>
      <c r="L29" t="n">
        <v>43</v>
      </c>
      <c r="M29" t="n">
        <v>43</v>
      </c>
      <c r="N29" t="n">
        <v>927.25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176</v>
      </c>
      <c r="C30" t="n">
        <v>176</v>
      </c>
      <c r="D30" t="n">
        <v>221</v>
      </c>
      <c r="E30" t="n">
        <v>0</v>
      </c>
      <c r="F30" t="n">
        <v>43</v>
      </c>
      <c r="G30" t="n">
        <v>219</v>
      </c>
      <c r="H30" t="n">
        <v>219</v>
      </c>
      <c r="I30" t="n">
        <v>2</v>
      </c>
      <c r="J30" t="n">
        <v>0</v>
      </c>
      <c r="K30" t="n">
        <v>0.5</v>
      </c>
      <c r="L30" t="n">
        <v>0</v>
      </c>
      <c r="M30" t="n">
        <v>0.5</v>
      </c>
      <c r="N30" t="n">
        <v>927.75</v>
      </c>
      <c r="P30" t="n">
        <v>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0.5</v>
      </c>
      <c r="L31" t="n">
        <v>0</v>
      </c>
      <c r="M31" t="n">
        <v>0.5</v>
      </c>
      <c r="N31" t="n">
        <v>928.25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98</v>
      </c>
      <c r="E32" t="n">
        <v>2</v>
      </c>
      <c r="F32" t="n">
        <v>0</v>
      </c>
      <c r="G32" t="n">
        <v>0</v>
      </c>
      <c r="H32" t="n">
        <v>0</v>
      </c>
      <c r="I32" t="n">
        <v>100</v>
      </c>
      <c r="J32" t="n">
        <v>0</v>
      </c>
      <c r="K32" t="n">
        <v>25</v>
      </c>
      <c r="L32" t="n">
        <v>0</v>
      </c>
      <c r="M32" t="n">
        <v>25</v>
      </c>
      <c r="N32" t="n">
        <v>953.25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100</v>
      </c>
      <c r="J33" t="n">
        <v>0</v>
      </c>
      <c r="K33" t="n">
        <v>25</v>
      </c>
      <c r="L33" t="n">
        <v>0</v>
      </c>
      <c r="M33" t="n">
        <v>25</v>
      </c>
      <c r="N33" t="n">
        <v>978.25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17</v>
      </c>
      <c r="C34" t="n">
        <v>17</v>
      </c>
      <c r="D34" t="n">
        <v>0</v>
      </c>
      <c r="E34" t="n">
        <v>100</v>
      </c>
      <c r="F34" t="n">
        <v>0</v>
      </c>
      <c r="G34" t="n">
        <v>17</v>
      </c>
      <c r="H34" t="n">
        <v>17</v>
      </c>
      <c r="I34" t="n">
        <v>83</v>
      </c>
      <c r="J34" t="n">
        <v>0</v>
      </c>
      <c r="K34" t="n">
        <v>20.75</v>
      </c>
      <c r="L34" t="n">
        <v>0</v>
      </c>
      <c r="M34" t="n">
        <v>20.75</v>
      </c>
      <c r="N34" t="n">
        <v>999</v>
      </c>
      <c r="P34" t="n">
        <v>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17</v>
      </c>
      <c r="C35" t="n">
        <v>17</v>
      </c>
      <c r="D35" t="n">
        <v>0</v>
      </c>
      <c r="E35" t="n">
        <v>83</v>
      </c>
      <c r="F35" t="n">
        <v>0</v>
      </c>
      <c r="G35" t="n">
        <v>17</v>
      </c>
      <c r="H35" t="n">
        <v>17</v>
      </c>
      <c r="I35" t="n">
        <v>66</v>
      </c>
      <c r="J35" t="n">
        <v>0</v>
      </c>
      <c r="K35" t="n">
        <v>16.5</v>
      </c>
      <c r="L35" t="n">
        <v>0</v>
      </c>
      <c r="M35" t="n">
        <v>16.5</v>
      </c>
      <c r="N35" t="n">
        <v>1015.5</v>
      </c>
      <c r="P35" t="n">
        <v>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17</v>
      </c>
      <c r="C36" t="n">
        <v>17</v>
      </c>
      <c r="D36" t="n">
        <v>17</v>
      </c>
      <c r="E36" t="n">
        <v>66</v>
      </c>
      <c r="F36" t="n">
        <v>0</v>
      </c>
      <c r="G36" t="n">
        <v>17</v>
      </c>
      <c r="H36" t="n">
        <v>17</v>
      </c>
      <c r="I36" t="n">
        <v>66</v>
      </c>
      <c r="J36" t="n">
        <v>0</v>
      </c>
      <c r="K36" t="n">
        <v>16.5</v>
      </c>
      <c r="L36" t="n">
        <v>0</v>
      </c>
      <c r="M36" t="n">
        <v>16.5</v>
      </c>
      <c r="N36" t="n">
        <v>1032</v>
      </c>
      <c r="P36" t="n">
        <v>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100</v>
      </c>
      <c r="C2" t="n">
        <v>100</v>
      </c>
      <c r="D2" t="n">
        <v>50</v>
      </c>
      <c r="E2" t="n">
        <v>100</v>
      </c>
      <c r="F2" t="n">
        <v>0</v>
      </c>
      <c r="G2" t="n">
        <v>100</v>
      </c>
      <c r="H2" t="n">
        <v>100</v>
      </c>
      <c r="I2" t="n">
        <v>50</v>
      </c>
      <c r="J2" t="n">
        <v>0</v>
      </c>
      <c r="K2" t="n">
        <v>12.5</v>
      </c>
      <c r="L2" t="n">
        <v>0</v>
      </c>
      <c r="M2" t="n">
        <v>12.5</v>
      </c>
      <c r="N2" t="n">
        <v>12.5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100</v>
      </c>
      <c r="C3" t="n">
        <v>100</v>
      </c>
      <c r="D3" t="n">
        <v>50</v>
      </c>
      <c r="E3" t="n">
        <v>50</v>
      </c>
      <c r="F3" t="n">
        <v>0</v>
      </c>
      <c r="G3" t="n">
        <v>100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0</v>
      </c>
      <c r="F4" t="n">
        <v>0</v>
      </c>
      <c r="G4" t="n">
        <v>100</v>
      </c>
      <c r="H4" t="n">
        <v>0</v>
      </c>
      <c r="I4" t="n">
        <v>0</v>
      </c>
      <c r="J4" t="n">
        <v>100</v>
      </c>
      <c r="K4" t="n">
        <v>0</v>
      </c>
      <c r="L4" t="n">
        <v>100</v>
      </c>
      <c r="M4" t="n">
        <v>100</v>
      </c>
      <c r="N4" t="n">
        <v>112.5</v>
      </c>
      <c r="P4" t="n">
        <v>200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0</v>
      </c>
      <c r="F5" t="n">
        <v>100</v>
      </c>
      <c r="G5" t="n">
        <v>200</v>
      </c>
      <c r="H5" t="n">
        <v>0</v>
      </c>
      <c r="I5" t="n">
        <v>0</v>
      </c>
      <c r="J5" t="n">
        <v>200</v>
      </c>
      <c r="K5" t="n">
        <v>0</v>
      </c>
      <c r="L5" t="n">
        <v>200</v>
      </c>
      <c r="M5" t="n">
        <v>200</v>
      </c>
      <c r="N5" t="n">
        <v>312.5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100</v>
      </c>
      <c r="C6" t="n">
        <v>100</v>
      </c>
      <c r="D6" t="n">
        <v>0</v>
      </c>
      <c r="E6" t="n">
        <v>0</v>
      </c>
      <c r="F6" t="n">
        <v>200</v>
      </c>
      <c r="G6" t="n">
        <v>300</v>
      </c>
      <c r="H6" t="n">
        <v>0</v>
      </c>
      <c r="I6" t="n">
        <v>0</v>
      </c>
      <c r="J6" t="n">
        <v>300</v>
      </c>
      <c r="K6" t="n">
        <v>0</v>
      </c>
      <c r="L6" t="n">
        <v>300</v>
      </c>
      <c r="M6" t="n">
        <v>300</v>
      </c>
      <c r="N6" t="n">
        <v>612.5</v>
      </c>
      <c r="P6" t="n">
        <v>300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100</v>
      </c>
      <c r="C7" t="n">
        <v>100</v>
      </c>
      <c r="D7" t="n">
        <v>100</v>
      </c>
      <c r="E7" t="n">
        <v>0</v>
      </c>
      <c r="F7" t="n">
        <v>300</v>
      </c>
      <c r="G7" t="n">
        <v>400</v>
      </c>
      <c r="H7" t="n">
        <v>100</v>
      </c>
      <c r="I7" t="n">
        <v>0</v>
      </c>
      <c r="J7" t="n">
        <v>300</v>
      </c>
      <c r="K7" t="n">
        <v>0</v>
      </c>
      <c r="L7" t="n">
        <v>300</v>
      </c>
      <c r="M7" t="n">
        <v>300</v>
      </c>
      <c r="N7" t="n">
        <v>912.5</v>
      </c>
      <c r="P7" t="n">
        <v>200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100</v>
      </c>
      <c r="C8" t="n">
        <v>100</v>
      </c>
      <c r="D8" t="n">
        <v>200</v>
      </c>
      <c r="E8" t="n">
        <v>0</v>
      </c>
      <c r="F8" t="n">
        <v>300</v>
      </c>
      <c r="G8" t="n">
        <v>400</v>
      </c>
      <c r="H8" t="n">
        <v>200</v>
      </c>
      <c r="I8" t="n">
        <v>0</v>
      </c>
      <c r="J8" t="n">
        <v>200</v>
      </c>
      <c r="K8" t="n">
        <v>0</v>
      </c>
      <c r="L8" t="n">
        <v>200</v>
      </c>
      <c r="M8" t="n">
        <v>200</v>
      </c>
      <c r="N8" t="n">
        <v>1112.5</v>
      </c>
      <c r="P8" t="n">
        <v>200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100</v>
      </c>
      <c r="C9" t="n">
        <v>100</v>
      </c>
      <c r="D9" t="n">
        <v>100</v>
      </c>
      <c r="E9" t="n">
        <v>0</v>
      </c>
      <c r="F9" t="n">
        <v>200</v>
      </c>
      <c r="G9" t="n">
        <v>300</v>
      </c>
      <c r="H9" t="n">
        <v>100</v>
      </c>
      <c r="I9" t="n">
        <v>0</v>
      </c>
      <c r="J9" t="n">
        <v>200</v>
      </c>
      <c r="K9" t="n">
        <v>0</v>
      </c>
      <c r="L9" t="n">
        <v>200</v>
      </c>
      <c r="M9" t="n">
        <v>200</v>
      </c>
      <c r="N9" t="n">
        <v>1312.5</v>
      </c>
      <c r="P9" t="n">
        <v>200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100</v>
      </c>
      <c r="C10" t="n">
        <v>100</v>
      </c>
      <c r="D10" t="n">
        <v>100</v>
      </c>
      <c r="E10" t="n">
        <v>0</v>
      </c>
      <c r="F10" t="n">
        <v>200</v>
      </c>
      <c r="G10" t="n">
        <v>300</v>
      </c>
      <c r="H10" t="n">
        <v>100</v>
      </c>
      <c r="I10" t="n">
        <v>0</v>
      </c>
      <c r="J10" t="n">
        <v>200</v>
      </c>
      <c r="K10" t="n">
        <v>0</v>
      </c>
      <c r="L10" t="n">
        <v>200</v>
      </c>
      <c r="M10" t="n">
        <v>200</v>
      </c>
      <c r="N10" t="n">
        <v>1512.5</v>
      </c>
      <c r="P10" t="n">
        <v>200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100</v>
      </c>
      <c r="C11" t="n">
        <v>100</v>
      </c>
      <c r="D11" t="n">
        <v>100</v>
      </c>
      <c r="E11" t="n">
        <v>0</v>
      </c>
      <c r="F11" t="n">
        <v>200</v>
      </c>
      <c r="G11" t="n">
        <v>300</v>
      </c>
      <c r="H11" t="n">
        <v>100</v>
      </c>
      <c r="I11" t="n">
        <v>0</v>
      </c>
      <c r="J11" t="n">
        <v>200</v>
      </c>
      <c r="K11" t="n">
        <v>0</v>
      </c>
      <c r="L11" t="n">
        <v>200</v>
      </c>
      <c r="M11" t="n">
        <v>200</v>
      </c>
      <c r="N11" t="n">
        <v>1712.5</v>
      </c>
      <c r="P11" t="n">
        <v>200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100</v>
      </c>
      <c r="C12" t="n">
        <v>100</v>
      </c>
      <c r="D12" t="n">
        <v>100</v>
      </c>
      <c r="E12" t="n">
        <v>0</v>
      </c>
      <c r="F12" t="n">
        <v>200</v>
      </c>
      <c r="G12" t="n">
        <v>300</v>
      </c>
      <c r="H12" t="n">
        <v>100</v>
      </c>
      <c r="I12" t="n">
        <v>0</v>
      </c>
      <c r="J12" t="n">
        <v>200</v>
      </c>
      <c r="K12" t="n">
        <v>0</v>
      </c>
      <c r="L12" t="n">
        <v>200</v>
      </c>
      <c r="M12" t="n">
        <v>200</v>
      </c>
      <c r="N12" t="n">
        <v>1912.5</v>
      </c>
      <c r="P12" t="n">
        <v>100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100</v>
      </c>
      <c r="C13" t="n">
        <v>100</v>
      </c>
      <c r="D13" t="n">
        <v>200</v>
      </c>
      <c r="E13" t="n">
        <v>0</v>
      </c>
      <c r="F13" t="n">
        <v>200</v>
      </c>
      <c r="G13" t="n">
        <v>300</v>
      </c>
      <c r="H13" t="n">
        <v>200</v>
      </c>
      <c r="I13" t="n">
        <v>0</v>
      </c>
      <c r="J13" t="n">
        <v>100</v>
      </c>
      <c r="K13" t="n">
        <v>0</v>
      </c>
      <c r="L13" t="n">
        <v>100</v>
      </c>
      <c r="M13" t="n">
        <v>100</v>
      </c>
      <c r="N13" t="n">
        <v>2012.5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100</v>
      </c>
      <c r="C14" t="n">
        <v>100</v>
      </c>
      <c r="D14" t="n">
        <v>400</v>
      </c>
      <c r="E14" t="n">
        <v>0</v>
      </c>
      <c r="F14" t="n">
        <v>100</v>
      </c>
      <c r="G14" t="n">
        <v>200</v>
      </c>
      <c r="H14" t="n">
        <v>200</v>
      </c>
      <c r="I14" t="n">
        <v>200</v>
      </c>
      <c r="J14" t="n">
        <v>0</v>
      </c>
      <c r="K14" t="n">
        <v>50</v>
      </c>
      <c r="L14" t="n">
        <v>0</v>
      </c>
      <c r="M14" t="n">
        <v>50</v>
      </c>
      <c r="N14" t="n">
        <v>2062.5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100</v>
      </c>
      <c r="C15" t="n">
        <v>100</v>
      </c>
      <c r="D15" t="n">
        <v>500</v>
      </c>
      <c r="E15" t="n">
        <v>200</v>
      </c>
      <c r="F15" t="n">
        <v>0</v>
      </c>
      <c r="G15" t="n">
        <v>100</v>
      </c>
      <c r="H15" t="n">
        <v>100</v>
      </c>
      <c r="I15" t="n">
        <v>600</v>
      </c>
      <c r="J15" t="n">
        <v>0</v>
      </c>
      <c r="K15" t="n">
        <v>150</v>
      </c>
      <c r="L15" t="n">
        <v>0</v>
      </c>
      <c r="M15" t="n">
        <v>150</v>
      </c>
      <c r="N15" t="n">
        <v>2212.5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100</v>
      </c>
      <c r="C16" t="n">
        <v>100</v>
      </c>
      <c r="D16" t="n">
        <v>200</v>
      </c>
      <c r="E16" t="n">
        <v>600</v>
      </c>
      <c r="F16" t="n">
        <v>0</v>
      </c>
      <c r="G16" t="n">
        <v>100</v>
      </c>
      <c r="H16" t="n">
        <v>100</v>
      </c>
      <c r="I16" t="n">
        <v>700</v>
      </c>
      <c r="J16" t="n">
        <v>0</v>
      </c>
      <c r="K16" t="n">
        <v>175</v>
      </c>
      <c r="L16" t="n">
        <v>0</v>
      </c>
      <c r="M16" t="n">
        <v>175</v>
      </c>
      <c r="N16" t="n">
        <v>2387.5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100</v>
      </c>
      <c r="C17" t="n">
        <v>100</v>
      </c>
      <c r="D17" t="n">
        <v>0</v>
      </c>
      <c r="E17" t="n">
        <v>700</v>
      </c>
      <c r="F17" t="n">
        <v>0</v>
      </c>
      <c r="G17" t="n">
        <v>100</v>
      </c>
      <c r="H17" t="n">
        <v>100</v>
      </c>
      <c r="I17" t="n">
        <v>600</v>
      </c>
      <c r="J17" t="n">
        <v>0</v>
      </c>
      <c r="K17" t="n">
        <v>150</v>
      </c>
      <c r="L17" t="n">
        <v>0</v>
      </c>
      <c r="M17" t="n">
        <v>150</v>
      </c>
      <c r="N17" t="n">
        <v>2537.5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100</v>
      </c>
      <c r="C18" t="n">
        <v>100</v>
      </c>
      <c r="D18" t="n">
        <v>0</v>
      </c>
      <c r="E18" t="n">
        <v>600</v>
      </c>
      <c r="F18" t="n">
        <v>0</v>
      </c>
      <c r="G18" t="n">
        <v>100</v>
      </c>
      <c r="H18" t="n">
        <v>100</v>
      </c>
      <c r="I18" t="n">
        <v>500</v>
      </c>
      <c r="J18" t="n">
        <v>0</v>
      </c>
      <c r="K18" t="n">
        <v>125</v>
      </c>
      <c r="L18" t="n">
        <v>0</v>
      </c>
      <c r="M18" t="n">
        <v>125</v>
      </c>
      <c r="N18" t="n">
        <v>2662.5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100</v>
      </c>
      <c r="C19" t="n">
        <v>100</v>
      </c>
      <c r="D19" t="n">
        <v>0</v>
      </c>
      <c r="E19" t="n">
        <v>500</v>
      </c>
      <c r="F19" t="n">
        <v>0</v>
      </c>
      <c r="G19" t="n">
        <v>100</v>
      </c>
      <c r="H19" t="n">
        <v>100</v>
      </c>
      <c r="I19" t="n">
        <v>400</v>
      </c>
      <c r="J19" t="n">
        <v>0</v>
      </c>
      <c r="K19" t="n">
        <v>100</v>
      </c>
      <c r="L19" t="n">
        <v>0</v>
      </c>
      <c r="M19" t="n">
        <v>100</v>
      </c>
      <c r="N19" t="n">
        <v>2762.5</v>
      </c>
      <c r="P19" t="n">
        <v>200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100</v>
      </c>
      <c r="C20" t="n">
        <v>100</v>
      </c>
      <c r="D20" t="n">
        <v>0</v>
      </c>
      <c r="E20" t="n">
        <v>400</v>
      </c>
      <c r="F20" t="n">
        <v>0</v>
      </c>
      <c r="G20" t="n">
        <v>100</v>
      </c>
      <c r="H20" t="n">
        <v>100</v>
      </c>
      <c r="I20" t="n">
        <v>300</v>
      </c>
      <c r="J20" t="n">
        <v>0</v>
      </c>
      <c r="K20" t="n">
        <v>75</v>
      </c>
      <c r="L20" t="n">
        <v>0</v>
      </c>
      <c r="M20" t="n">
        <v>75</v>
      </c>
      <c r="N20" t="n">
        <v>2837.5</v>
      </c>
      <c r="P20" t="n">
        <v>300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100</v>
      </c>
      <c r="C21" t="n">
        <v>100</v>
      </c>
      <c r="D21" t="n">
        <v>0</v>
      </c>
      <c r="E21" t="n">
        <v>300</v>
      </c>
      <c r="F21" t="n">
        <v>0</v>
      </c>
      <c r="G21" t="n">
        <v>100</v>
      </c>
      <c r="H21" t="n">
        <v>100</v>
      </c>
      <c r="I21" t="n">
        <v>200</v>
      </c>
      <c r="J21" t="n">
        <v>0</v>
      </c>
      <c r="K21" t="n">
        <v>50</v>
      </c>
      <c r="L21" t="n">
        <v>0</v>
      </c>
      <c r="M21" t="n">
        <v>50</v>
      </c>
      <c r="N21" t="n">
        <v>2887.5</v>
      </c>
      <c r="P21" t="n">
        <v>300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100</v>
      </c>
      <c r="C22" t="n">
        <v>100</v>
      </c>
      <c r="D22" t="n">
        <v>100</v>
      </c>
      <c r="E22" t="n">
        <v>200</v>
      </c>
      <c r="F22" t="n">
        <v>0</v>
      </c>
      <c r="G22" t="n">
        <v>100</v>
      </c>
      <c r="H22" t="n">
        <v>100</v>
      </c>
      <c r="I22" t="n">
        <v>200</v>
      </c>
      <c r="J22" t="n">
        <v>0</v>
      </c>
      <c r="K22" t="n">
        <v>50</v>
      </c>
      <c r="L22" t="n">
        <v>0</v>
      </c>
      <c r="M22" t="n">
        <v>50</v>
      </c>
      <c r="N22" t="n">
        <v>2937.5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100</v>
      </c>
      <c r="C23" t="n">
        <v>100</v>
      </c>
      <c r="D23" t="n">
        <v>200</v>
      </c>
      <c r="E23" t="n">
        <v>200</v>
      </c>
      <c r="F23" t="n">
        <v>0</v>
      </c>
      <c r="G23" t="n">
        <v>100</v>
      </c>
      <c r="H23" t="n">
        <v>100</v>
      </c>
      <c r="I23" t="n">
        <v>300</v>
      </c>
      <c r="J23" t="n">
        <v>0</v>
      </c>
      <c r="K23" t="n">
        <v>75</v>
      </c>
      <c r="L23" t="n">
        <v>0</v>
      </c>
      <c r="M23" t="n">
        <v>75</v>
      </c>
      <c r="N23" t="n">
        <v>3012.5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100</v>
      </c>
      <c r="C24" t="n">
        <v>100</v>
      </c>
      <c r="D24" t="n">
        <v>300</v>
      </c>
      <c r="E24" t="n">
        <v>300</v>
      </c>
      <c r="F24" t="n">
        <v>0</v>
      </c>
      <c r="G24" t="n">
        <v>100</v>
      </c>
      <c r="H24" t="n">
        <v>100</v>
      </c>
      <c r="I24" t="n">
        <v>500</v>
      </c>
      <c r="J24" t="n">
        <v>0</v>
      </c>
      <c r="K24" t="n">
        <v>125</v>
      </c>
      <c r="L24" t="n">
        <v>0</v>
      </c>
      <c r="M24" t="n">
        <v>125</v>
      </c>
      <c r="N24" t="n">
        <v>3137.5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100</v>
      </c>
      <c r="C25" t="n">
        <v>100</v>
      </c>
      <c r="D25" t="n">
        <v>300</v>
      </c>
      <c r="E25" t="n">
        <v>500</v>
      </c>
      <c r="F25" t="n">
        <v>0</v>
      </c>
      <c r="G25" t="n">
        <v>100</v>
      </c>
      <c r="H25" t="n">
        <v>100</v>
      </c>
      <c r="I25" t="n">
        <v>700</v>
      </c>
      <c r="J25" t="n">
        <v>0</v>
      </c>
      <c r="K25" t="n">
        <v>175</v>
      </c>
      <c r="L25" t="n">
        <v>0</v>
      </c>
      <c r="M25" t="n">
        <v>175</v>
      </c>
      <c r="N25" t="n">
        <v>3312.5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100</v>
      </c>
      <c r="C26" t="n">
        <v>100</v>
      </c>
      <c r="D26" t="n">
        <v>100</v>
      </c>
      <c r="E26" t="n">
        <v>700</v>
      </c>
      <c r="F26" t="n">
        <v>0</v>
      </c>
      <c r="G26" t="n">
        <v>100</v>
      </c>
      <c r="H26" t="n">
        <v>100</v>
      </c>
      <c r="I26" t="n">
        <v>700</v>
      </c>
      <c r="J26" t="n">
        <v>0</v>
      </c>
      <c r="K26" t="n">
        <v>175</v>
      </c>
      <c r="L26" t="n">
        <v>0</v>
      </c>
      <c r="M26" t="n">
        <v>175</v>
      </c>
      <c r="N26" t="n">
        <v>3487.5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100</v>
      </c>
      <c r="C27" t="n">
        <v>100</v>
      </c>
      <c r="D27" t="n">
        <v>0</v>
      </c>
      <c r="E27" t="n">
        <v>700</v>
      </c>
      <c r="F27" t="n">
        <v>0</v>
      </c>
      <c r="G27" t="n">
        <v>100</v>
      </c>
      <c r="H27" t="n">
        <v>100</v>
      </c>
      <c r="I27" t="n">
        <v>600</v>
      </c>
      <c r="J27" t="n">
        <v>0</v>
      </c>
      <c r="K27" t="n">
        <v>150</v>
      </c>
      <c r="L27" t="n">
        <v>0</v>
      </c>
      <c r="M27" t="n">
        <v>150</v>
      </c>
      <c r="N27" t="n">
        <v>3637.5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100</v>
      </c>
      <c r="C28" t="n">
        <v>100</v>
      </c>
      <c r="D28" t="n">
        <v>0</v>
      </c>
      <c r="E28" t="n">
        <v>600</v>
      </c>
      <c r="F28" t="n">
        <v>0</v>
      </c>
      <c r="G28" t="n">
        <v>100</v>
      </c>
      <c r="H28" t="n">
        <v>100</v>
      </c>
      <c r="I28" t="n">
        <v>500</v>
      </c>
      <c r="J28" t="n">
        <v>0</v>
      </c>
      <c r="K28" t="n">
        <v>125</v>
      </c>
      <c r="L28" t="n">
        <v>0</v>
      </c>
      <c r="M28" t="n">
        <v>125</v>
      </c>
      <c r="N28" t="n">
        <v>3762.5</v>
      </c>
      <c r="P28" t="n">
        <v>100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100</v>
      </c>
      <c r="C29" t="n">
        <v>100</v>
      </c>
      <c r="D29" t="n">
        <v>0</v>
      </c>
      <c r="E29" t="n">
        <v>500</v>
      </c>
      <c r="F29" t="n">
        <v>0</v>
      </c>
      <c r="G29" t="n">
        <v>100</v>
      </c>
      <c r="H29" t="n">
        <v>100</v>
      </c>
      <c r="I29" t="n">
        <v>400</v>
      </c>
      <c r="J29" t="n">
        <v>0</v>
      </c>
      <c r="K29" t="n">
        <v>100</v>
      </c>
      <c r="L29" t="n">
        <v>0</v>
      </c>
      <c r="M29" t="n">
        <v>100</v>
      </c>
      <c r="N29" t="n">
        <v>3862.5</v>
      </c>
      <c r="P29" t="n">
        <v>200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100</v>
      </c>
      <c r="C30" t="n">
        <v>100</v>
      </c>
      <c r="D30" t="n">
        <v>0</v>
      </c>
      <c r="E30" t="n">
        <v>400</v>
      </c>
      <c r="F30" t="n">
        <v>0</v>
      </c>
      <c r="G30" t="n">
        <v>100</v>
      </c>
      <c r="H30" t="n">
        <v>100</v>
      </c>
      <c r="I30" t="n">
        <v>300</v>
      </c>
      <c r="J30" t="n">
        <v>0</v>
      </c>
      <c r="K30" t="n">
        <v>75</v>
      </c>
      <c r="L30" t="n">
        <v>0</v>
      </c>
      <c r="M30" t="n">
        <v>75</v>
      </c>
      <c r="N30" t="n">
        <v>3937.5</v>
      </c>
      <c r="P30" t="n">
        <v>300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100</v>
      </c>
      <c r="C31" t="n">
        <v>100</v>
      </c>
      <c r="D31" t="n">
        <v>0</v>
      </c>
      <c r="E31" t="n">
        <v>300</v>
      </c>
      <c r="F31" t="n">
        <v>0</v>
      </c>
      <c r="G31" t="n">
        <v>100</v>
      </c>
      <c r="H31" t="n">
        <v>100</v>
      </c>
      <c r="I31" t="n">
        <v>200</v>
      </c>
      <c r="J31" t="n">
        <v>0</v>
      </c>
      <c r="K31" t="n">
        <v>50</v>
      </c>
      <c r="L31" t="n">
        <v>0</v>
      </c>
      <c r="M31" t="n">
        <v>50</v>
      </c>
      <c r="N31" t="n">
        <v>3987.5</v>
      </c>
      <c r="P31" t="n">
        <v>300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100</v>
      </c>
      <c r="C32" t="n">
        <v>100</v>
      </c>
      <c r="D32" t="n">
        <v>100</v>
      </c>
      <c r="E32" t="n">
        <v>200</v>
      </c>
      <c r="F32" t="n">
        <v>0</v>
      </c>
      <c r="G32" t="n">
        <v>100</v>
      </c>
      <c r="H32" t="n">
        <v>100</v>
      </c>
      <c r="I32" t="n">
        <v>200</v>
      </c>
      <c r="J32" t="n">
        <v>0</v>
      </c>
      <c r="K32" t="n">
        <v>50</v>
      </c>
      <c r="L32" t="n">
        <v>0</v>
      </c>
      <c r="M32" t="n">
        <v>50</v>
      </c>
      <c r="N32" t="n">
        <v>4037.5</v>
      </c>
      <c r="P32" t="n">
        <v>200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100</v>
      </c>
      <c r="C33" t="n">
        <v>100</v>
      </c>
      <c r="D33" t="n">
        <v>200</v>
      </c>
      <c r="E33" t="n">
        <v>200</v>
      </c>
      <c r="F33" t="n">
        <v>0</v>
      </c>
      <c r="G33" t="n">
        <v>100</v>
      </c>
      <c r="H33" t="n">
        <v>100</v>
      </c>
      <c r="I33" t="n">
        <v>300</v>
      </c>
      <c r="J33" t="n">
        <v>0</v>
      </c>
      <c r="K33" t="n">
        <v>75</v>
      </c>
      <c r="L33" t="n">
        <v>0</v>
      </c>
      <c r="M33" t="n">
        <v>75</v>
      </c>
      <c r="N33" t="n">
        <v>4112.5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100</v>
      </c>
      <c r="C34" t="n">
        <v>100</v>
      </c>
      <c r="D34" t="n">
        <v>300</v>
      </c>
      <c r="E34" t="n">
        <v>300</v>
      </c>
      <c r="F34" t="n">
        <v>0</v>
      </c>
      <c r="G34" t="n">
        <v>100</v>
      </c>
      <c r="H34" t="n">
        <v>100</v>
      </c>
      <c r="I34" t="n">
        <v>500</v>
      </c>
      <c r="J34" t="n">
        <v>0</v>
      </c>
      <c r="K34" t="n">
        <v>125</v>
      </c>
      <c r="L34" t="n">
        <v>0</v>
      </c>
      <c r="M34" t="n">
        <v>125</v>
      </c>
      <c r="N34" t="n">
        <v>4237.5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100</v>
      </c>
      <c r="C35" t="n">
        <v>100</v>
      </c>
      <c r="D35" t="n">
        <v>300</v>
      </c>
      <c r="E35" t="n">
        <v>500</v>
      </c>
      <c r="F35" t="n">
        <v>0</v>
      </c>
      <c r="G35" t="n">
        <v>100</v>
      </c>
      <c r="H35" t="n">
        <v>100</v>
      </c>
      <c r="I35" t="n">
        <v>700</v>
      </c>
      <c r="J35" t="n">
        <v>0</v>
      </c>
      <c r="K35" t="n">
        <v>175</v>
      </c>
      <c r="L35" t="n">
        <v>0</v>
      </c>
      <c r="M35" t="n">
        <v>175</v>
      </c>
      <c r="N35" t="n">
        <v>4412.5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100</v>
      </c>
      <c r="C36" t="n">
        <v>100</v>
      </c>
      <c r="D36" t="n">
        <v>200</v>
      </c>
      <c r="E36" t="n">
        <v>700</v>
      </c>
      <c r="F36" t="n">
        <v>0</v>
      </c>
      <c r="G36" t="n">
        <v>100</v>
      </c>
      <c r="H36" t="n">
        <v>100</v>
      </c>
      <c r="I36" t="n">
        <v>800</v>
      </c>
      <c r="J36" t="n">
        <v>0</v>
      </c>
      <c r="K36" t="n">
        <v>200</v>
      </c>
      <c r="L36" t="n">
        <v>0</v>
      </c>
      <c r="M36" t="n">
        <v>200</v>
      </c>
      <c r="N36" t="n">
        <v>4612.5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200</v>
      </c>
      <c r="F4" t="n">
        <v>0</v>
      </c>
      <c r="G4" t="n">
        <v>0</v>
      </c>
      <c r="H4" t="n">
        <v>0</v>
      </c>
      <c r="I4" t="n">
        <v>200</v>
      </c>
      <c r="J4" t="n">
        <v>0</v>
      </c>
      <c r="K4" t="n">
        <v>50</v>
      </c>
      <c r="L4" t="n">
        <v>0</v>
      </c>
      <c r="M4" t="n">
        <v>50</v>
      </c>
      <c r="N4" t="n">
        <v>137.5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200</v>
      </c>
      <c r="F5" t="n">
        <v>0</v>
      </c>
      <c r="G5" t="n">
        <v>100</v>
      </c>
      <c r="H5" t="n">
        <v>100</v>
      </c>
      <c r="I5" t="n">
        <v>100</v>
      </c>
      <c r="J5" t="n">
        <v>0</v>
      </c>
      <c r="K5" t="n">
        <v>25</v>
      </c>
      <c r="L5" t="n">
        <v>0</v>
      </c>
      <c r="M5" t="n">
        <v>25</v>
      </c>
      <c r="N5" t="n">
        <v>162.5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200</v>
      </c>
      <c r="C6" t="n">
        <v>200</v>
      </c>
      <c r="D6" t="n">
        <v>100</v>
      </c>
      <c r="E6" t="n">
        <v>100</v>
      </c>
      <c r="F6" t="n">
        <v>0</v>
      </c>
      <c r="G6" t="n">
        <v>200</v>
      </c>
      <c r="H6" t="n">
        <v>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162.5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100</v>
      </c>
      <c r="E7" t="n">
        <v>0</v>
      </c>
      <c r="F7" t="n">
        <v>0</v>
      </c>
      <c r="G7" t="n">
        <v>300</v>
      </c>
      <c r="H7" t="n">
        <v>100</v>
      </c>
      <c r="I7" t="n">
        <v>0</v>
      </c>
      <c r="J7" t="n">
        <v>200</v>
      </c>
      <c r="K7" t="n">
        <v>0</v>
      </c>
      <c r="L7" t="n">
        <v>200</v>
      </c>
      <c r="M7" t="n">
        <v>200</v>
      </c>
      <c r="N7" t="n">
        <v>362.5</v>
      </c>
      <c r="P7" t="n">
        <v>200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300</v>
      </c>
      <c r="C8" t="n">
        <v>300</v>
      </c>
      <c r="D8" t="n">
        <v>100</v>
      </c>
      <c r="E8" t="n">
        <v>0</v>
      </c>
      <c r="F8" t="n">
        <v>200</v>
      </c>
      <c r="G8" t="n">
        <v>500</v>
      </c>
      <c r="H8" t="n">
        <v>100</v>
      </c>
      <c r="I8" t="n">
        <v>0</v>
      </c>
      <c r="J8" t="n">
        <v>400</v>
      </c>
      <c r="K8" t="n">
        <v>0</v>
      </c>
      <c r="L8" t="n">
        <v>400</v>
      </c>
      <c r="M8" t="n">
        <v>400</v>
      </c>
      <c r="N8" t="n">
        <v>762.5</v>
      </c>
      <c r="P8" t="n">
        <v>400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200</v>
      </c>
      <c r="C9" t="n">
        <v>200</v>
      </c>
      <c r="D9" t="n">
        <v>100</v>
      </c>
      <c r="E9" t="n">
        <v>0</v>
      </c>
      <c r="F9" t="n">
        <v>400</v>
      </c>
      <c r="G9" t="n">
        <v>600</v>
      </c>
      <c r="H9" t="n">
        <v>100</v>
      </c>
      <c r="I9" t="n">
        <v>0</v>
      </c>
      <c r="J9" t="n">
        <v>500</v>
      </c>
      <c r="K9" t="n">
        <v>0</v>
      </c>
      <c r="L9" t="n">
        <v>500</v>
      </c>
      <c r="M9" t="n">
        <v>500</v>
      </c>
      <c r="N9" t="n">
        <v>1262.5</v>
      </c>
      <c r="P9" t="n">
        <v>500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200</v>
      </c>
      <c r="C10" t="n">
        <v>200</v>
      </c>
      <c r="D10" t="n">
        <v>100</v>
      </c>
      <c r="E10" t="n">
        <v>0</v>
      </c>
      <c r="F10" t="n">
        <v>500</v>
      </c>
      <c r="G10" t="n">
        <v>700</v>
      </c>
      <c r="H10" t="n">
        <v>100</v>
      </c>
      <c r="I10" t="n">
        <v>0</v>
      </c>
      <c r="J10" t="n">
        <v>600</v>
      </c>
      <c r="K10" t="n">
        <v>0</v>
      </c>
      <c r="L10" t="n">
        <v>600</v>
      </c>
      <c r="M10" t="n">
        <v>600</v>
      </c>
      <c r="N10" t="n">
        <v>1862.5</v>
      </c>
      <c r="P10" t="n">
        <v>500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200</v>
      </c>
      <c r="C11" t="n">
        <v>200</v>
      </c>
      <c r="D11" t="n">
        <v>200</v>
      </c>
      <c r="E11" t="n">
        <v>0</v>
      </c>
      <c r="F11" t="n">
        <v>600</v>
      </c>
      <c r="G11" t="n">
        <v>800</v>
      </c>
      <c r="H11" t="n">
        <v>200</v>
      </c>
      <c r="I11" t="n">
        <v>0</v>
      </c>
      <c r="J11" t="n">
        <v>600</v>
      </c>
      <c r="K11" t="n">
        <v>0</v>
      </c>
      <c r="L11" t="n">
        <v>600</v>
      </c>
      <c r="M11" t="n">
        <v>600</v>
      </c>
      <c r="N11" t="n">
        <v>2462.5</v>
      </c>
      <c r="P11" t="n">
        <v>300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200</v>
      </c>
      <c r="C12" t="n">
        <v>200</v>
      </c>
      <c r="D12" t="n">
        <v>400</v>
      </c>
      <c r="E12" t="n">
        <v>0</v>
      </c>
      <c r="F12" t="n">
        <v>600</v>
      </c>
      <c r="G12" t="n">
        <v>800</v>
      </c>
      <c r="H12" t="n">
        <v>400</v>
      </c>
      <c r="I12" t="n">
        <v>0</v>
      </c>
      <c r="J12" t="n">
        <v>400</v>
      </c>
      <c r="K12" t="n">
        <v>0</v>
      </c>
      <c r="L12" t="n">
        <v>400</v>
      </c>
      <c r="M12" t="n">
        <v>400</v>
      </c>
      <c r="N12" t="n">
        <v>2862.5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200</v>
      </c>
      <c r="C13" t="n">
        <v>200</v>
      </c>
      <c r="D13" t="n">
        <v>500</v>
      </c>
      <c r="E13" t="n">
        <v>0</v>
      </c>
      <c r="F13" t="n">
        <v>400</v>
      </c>
      <c r="G13" t="n">
        <v>600</v>
      </c>
      <c r="H13" t="n">
        <v>500</v>
      </c>
      <c r="I13" t="n">
        <v>0</v>
      </c>
      <c r="J13" t="n">
        <v>100</v>
      </c>
      <c r="K13" t="n">
        <v>0</v>
      </c>
      <c r="L13" t="n">
        <v>100</v>
      </c>
      <c r="M13" t="n">
        <v>100</v>
      </c>
      <c r="N13" t="n">
        <v>2962.5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100</v>
      </c>
      <c r="C14" t="n">
        <v>100</v>
      </c>
      <c r="D14" t="n">
        <v>200</v>
      </c>
      <c r="E14" t="n">
        <v>0</v>
      </c>
      <c r="F14" t="n">
        <v>100</v>
      </c>
      <c r="G14" t="n">
        <v>200</v>
      </c>
      <c r="H14" t="n">
        <v>200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2962.5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2962.5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2962.5</v>
      </c>
      <c r="P16" t="n">
        <v>200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2962.5</v>
      </c>
      <c r="P17" t="n">
        <v>200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</v>
      </c>
      <c r="C18" t="n">
        <v>0</v>
      </c>
      <c r="D18" t="n">
        <v>400</v>
      </c>
      <c r="E18" t="n">
        <v>0</v>
      </c>
      <c r="F18" t="n">
        <v>0</v>
      </c>
      <c r="G18" t="n">
        <v>0</v>
      </c>
      <c r="H18" t="n">
        <v>0</v>
      </c>
      <c r="I18" t="n">
        <v>400</v>
      </c>
      <c r="J18" t="n">
        <v>0</v>
      </c>
      <c r="K18" t="n">
        <v>100</v>
      </c>
      <c r="L18" t="n">
        <v>0</v>
      </c>
      <c r="M18" t="n">
        <v>100</v>
      </c>
      <c r="N18" t="n">
        <v>3062.5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200</v>
      </c>
      <c r="E19" t="n">
        <v>400</v>
      </c>
      <c r="F19" t="n">
        <v>0</v>
      </c>
      <c r="G19" t="n">
        <v>0</v>
      </c>
      <c r="H19" t="n">
        <v>0</v>
      </c>
      <c r="I19" t="n">
        <v>600</v>
      </c>
      <c r="J19" t="n">
        <v>0</v>
      </c>
      <c r="K19" t="n">
        <v>150</v>
      </c>
      <c r="L19" t="n">
        <v>0</v>
      </c>
      <c r="M19" t="n">
        <v>150</v>
      </c>
      <c r="N19" t="n">
        <v>3212.5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100</v>
      </c>
      <c r="C20" t="n">
        <v>100</v>
      </c>
      <c r="D20" t="n">
        <v>400</v>
      </c>
      <c r="E20" t="n">
        <v>600</v>
      </c>
      <c r="F20" t="n">
        <v>0</v>
      </c>
      <c r="G20" t="n">
        <v>100</v>
      </c>
      <c r="H20" t="n">
        <v>100</v>
      </c>
      <c r="I20" t="n">
        <v>900</v>
      </c>
      <c r="J20" t="n">
        <v>0</v>
      </c>
      <c r="K20" t="n">
        <v>225</v>
      </c>
      <c r="L20" t="n">
        <v>0</v>
      </c>
      <c r="M20" t="n">
        <v>225</v>
      </c>
      <c r="N20" t="n">
        <v>3437.5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200</v>
      </c>
      <c r="C21" t="n">
        <v>200</v>
      </c>
      <c r="D21" t="n">
        <v>200</v>
      </c>
      <c r="E21" t="n">
        <v>900</v>
      </c>
      <c r="F21" t="n">
        <v>0</v>
      </c>
      <c r="G21" t="n">
        <v>200</v>
      </c>
      <c r="H21" t="n">
        <v>200</v>
      </c>
      <c r="I21" t="n">
        <v>900</v>
      </c>
      <c r="J21" t="n">
        <v>0</v>
      </c>
      <c r="K21" t="n">
        <v>225</v>
      </c>
      <c r="L21" t="n">
        <v>0</v>
      </c>
      <c r="M21" t="n">
        <v>225</v>
      </c>
      <c r="N21" t="n">
        <v>3662.5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300</v>
      </c>
      <c r="C22" t="n">
        <v>300</v>
      </c>
      <c r="D22" t="n">
        <v>0</v>
      </c>
      <c r="E22" t="n">
        <v>900</v>
      </c>
      <c r="F22" t="n">
        <v>0</v>
      </c>
      <c r="G22" t="n">
        <v>300</v>
      </c>
      <c r="H22" t="n">
        <v>300</v>
      </c>
      <c r="I22" t="n">
        <v>600</v>
      </c>
      <c r="J22" t="n">
        <v>0</v>
      </c>
      <c r="K22" t="n">
        <v>150</v>
      </c>
      <c r="L22" t="n">
        <v>0</v>
      </c>
      <c r="M22" t="n">
        <v>150</v>
      </c>
      <c r="N22" t="n">
        <v>3812.5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300</v>
      </c>
      <c r="C23" t="n">
        <v>300</v>
      </c>
      <c r="D23" t="n">
        <v>0</v>
      </c>
      <c r="E23" t="n">
        <v>600</v>
      </c>
      <c r="F23" t="n">
        <v>0</v>
      </c>
      <c r="G23" t="n">
        <v>300</v>
      </c>
      <c r="H23" t="n">
        <v>300</v>
      </c>
      <c r="I23" t="n">
        <v>300</v>
      </c>
      <c r="J23" t="n">
        <v>0</v>
      </c>
      <c r="K23" t="n">
        <v>75</v>
      </c>
      <c r="L23" t="n">
        <v>0</v>
      </c>
      <c r="M23" t="n">
        <v>75</v>
      </c>
      <c r="N23" t="n">
        <v>3887.5</v>
      </c>
      <c r="P23" t="n">
        <v>300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100</v>
      </c>
      <c r="C24" t="n">
        <v>100</v>
      </c>
      <c r="D24" t="n">
        <v>0</v>
      </c>
      <c r="E24" t="n">
        <v>300</v>
      </c>
      <c r="F24" t="n">
        <v>0</v>
      </c>
      <c r="G24" t="n">
        <v>100</v>
      </c>
      <c r="H24" t="n">
        <v>100</v>
      </c>
      <c r="I24" t="n">
        <v>200</v>
      </c>
      <c r="J24" t="n">
        <v>0</v>
      </c>
      <c r="K24" t="n">
        <v>50</v>
      </c>
      <c r="L24" t="n">
        <v>0</v>
      </c>
      <c r="M24" t="n">
        <v>50</v>
      </c>
      <c r="N24" t="n">
        <v>3937.5</v>
      </c>
      <c r="P24" t="n">
        <v>300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200</v>
      </c>
      <c r="F25" t="n">
        <v>0</v>
      </c>
      <c r="G25" t="n">
        <v>0</v>
      </c>
      <c r="H25" t="n">
        <v>0</v>
      </c>
      <c r="I25" t="n">
        <v>200</v>
      </c>
      <c r="J25" t="n">
        <v>0</v>
      </c>
      <c r="K25" t="n">
        <v>50</v>
      </c>
      <c r="L25" t="n">
        <v>0</v>
      </c>
      <c r="M25" t="n">
        <v>50</v>
      </c>
      <c r="N25" t="n">
        <v>3987.5</v>
      </c>
      <c r="P25" t="n">
        <v>400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200</v>
      </c>
      <c r="F26" t="n">
        <v>0</v>
      </c>
      <c r="G26" t="n">
        <v>0</v>
      </c>
      <c r="H26" t="n">
        <v>0</v>
      </c>
      <c r="I26" t="n">
        <v>200</v>
      </c>
      <c r="J26" t="n">
        <v>0</v>
      </c>
      <c r="K26" t="n">
        <v>50</v>
      </c>
      <c r="L26" t="n">
        <v>0</v>
      </c>
      <c r="M26" t="n">
        <v>50</v>
      </c>
      <c r="N26" t="n">
        <v>4037.5</v>
      </c>
      <c r="P26" t="n">
        <v>100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300</v>
      </c>
      <c r="E27" t="n">
        <v>200</v>
      </c>
      <c r="F27" t="n">
        <v>0</v>
      </c>
      <c r="G27" t="n">
        <v>0</v>
      </c>
      <c r="H27" t="n">
        <v>0</v>
      </c>
      <c r="I27" t="n">
        <v>500</v>
      </c>
      <c r="J27" t="n">
        <v>0</v>
      </c>
      <c r="K27" t="n">
        <v>125</v>
      </c>
      <c r="L27" t="n">
        <v>0</v>
      </c>
      <c r="M27" t="n">
        <v>125</v>
      </c>
      <c r="N27" t="n">
        <v>4162.5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300</v>
      </c>
      <c r="E28" t="n">
        <v>500</v>
      </c>
      <c r="F28" t="n">
        <v>0</v>
      </c>
      <c r="G28" t="n">
        <v>0</v>
      </c>
      <c r="H28" t="n">
        <v>0</v>
      </c>
      <c r="I28" t="n">
        <v>800</v>
      </c>
      <c r="J28" t="n">
        <v>0</v>
      </c>
      <c r="K28" t="n">
        <v>200</v>
      </c>
      <c r="L28" t="n">
        <v>0</v>
      </c>
      <c r="M28" t="n">
        <v>200</v>
      </c>
      <c r="N28" t="n">
        <v>4362.5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400</v>
      </c>
      <c r="E29" t="n">
        <v>800</v>
      </c>
      <c r="F29" t="n">
        <v>0</v>
      </c>
      <c r="G29" t="n">
        <v>0</v>
      </c>
      <c r="H29" t="n">
        <v>0</v>
      </c>
      <c r="I29" t="n">
        <v>1200</v>
      </c>
      <c r="J29" t="n">
        <v>0</v>
      </c>
      <c r="K29" t="n">
        <v>300</v>
      </c>
      <c r="L29" t="n">
        <v>0</v>
      </c>
      <c r="M29" t="n">
        <v>300</v>
      </c>
      <c r="N29" t="n">
        <v>4662.5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100</v>
      </c>
      <c r="C30" t="n">
        <v>100</v>
      </c>
      <c r="D30" t="n">
        <v>100</v>
      </c>
      <c r="E30" t="n">
        <v>1200</v>
      </c>
      <c r="F30" t="n">
        <v>0</v>
      </c>
      <c r="G30" t="n">
        <v>100</v>
      </c>
      <c r="H30" t="n">
        <v>100</v>
      </c>
      <c r="I30" t="n">
        <v>1200</v>
      </c>
      <c r="J30" t="n">
        <v>0</v>
      </c>
      <c r="K30" t="n">
        <v>300</v>
      </c>
      <c r="L30" t="n">
        <v>0</v>
      </c>
      <c r="M30" t="n">
        <v>300</v>
      </c>
      <c r="N30" t="n">
        <v>4962.5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200</v>
      </c>
      <c r="C31" t="n">
        <v>200</v>
      </c>
      <c r="D31" t="n">
        <v>0</v>
      </c>
      <c r="E31" t="n">
        <v>1200</v>
      </c>
      <c r="F31" t="n">
        <v>0</v>
      </c>
      <c r="G31" t="n">
        <v>200</v>
      </c>
      <c r="H31" t="n">
        <v>200</v>
      </c>
      <c r="I31" t="n">
        <v>1000</v>
      </c>
      <c r="J31" t="n">
        <v>0</v>
      </c>
      <c r="K31" t="n">
        <v>250</v>
      </c>
      <c r="L31" t="n">
        <v>0</v>
      </c>
      <c r="M31" t="n">
        <v>250</v>
      </c>
      <c r="N31" t="n">
        <v>5212.5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300</v>
      </c>
      <c r="C32" t="n">
        <v>300</v>
      </c>
      <c r="D32" t="n">
        <v>0</v>
      </c>
      <c r="E32" t="n">
        <v>1000</v>
      </c>
      <c r="F32" t="n">
        <v>0</v>
      </c>
      <c r="G32" t="n">
        <v>300</v>
      </c>
      <c r="H32" t="n">
        <v>300</v>
      </c>
      <c r="I32" t="n">
        <v>700</v>
      </c>
      <c r="J32" t="n">
        <v>0</v>
      </c>
      <c r="K32" t="n">
        <v>175</v>
      </c>
      <c r="L32" t="n">
        <v>0</v>
      </c>
      <c r="M32" t="n">
        <v>175</v>
      </c>
      <c r="N32" t="n">
        <v>5387.5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300</v>
      </c>
      <c r="C33" t="n">
        <v>300</v>
      </c>
      <c r="D33" t="n">
        <v>0</v>
      </c>
      <c r="E33" t="n">
        <v>700</v>
      </c>
      <c r="F33" t="n">
        <v>0</v>
      </c>
      <c r="G33" t="n">
        <v>300</v>
      </c>
      <c r="H33" t="n">
        <v>300</v>
      </c>
      <c r="I33" t="n">
        <v>400</v>
      </c>
      <c r="J33" t="n">
        <v>0</v>
      </c>
      <c r="K33" t="n">
        <v>100</v>
      </c>
      <c r="L33" t="n">
        <v>0</v>
      </c>
      <c r="M33" t="n">
        <v>100</v>
      </c>
      <c r="N33" t="n">
        <v>5487.5</v>
      </c>
      <c r="P33" t="n">
        <v>200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200</v>
      </c>
      <c r="C34" t="n">
        <v>200</v>
      </c>
      <c r="D34" t="n">
        <v>0</v>
      </c>
      <c r="E34" t="n">
        <v>400</v>
      </c>
      <c r="F34" t="n">
        <v>0</v>
      </c>
      <c r="G34" t="n">
        <v>200</v>
      </c>
      <c r="H34" t="n">
        <v>200</v>
      </c>
      <c r="I34" t="n">
        <v>200</v>
      </c>
      <c r="J34" t="n">
        <v>0</v>
      </c>
      <c r="K34" t="n">
        <v>50</v>
      </c>
      <c r="L34" t="n">
        <v>0</v>
      </c>
      <c r="M34" t="n">
        <v>50</v>
      </c>
      <c r="N34" t="n">
        <v>5537.5</v>
      </c>
      <c r="P34" t="n">
        <v>400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200</v>
      </c>
      <c r="F35" t="n">
        <v>0</v>
      </c>
      <c r="G35" t="n">
        <v>0</v>
      </c>
      <c r="H35" t="n">
        <v>0</v>
      </c>
      <c r="I35" t="n">
        <v>200</v>
      </c>
      <c r="J35" t="n">
        <v>0</v>
      </c>
      <c r="K35" t="n">
        <v>50</v>
      </c>
      <c r="L35" t="n">
        <v>0</v>
      </c>
      <c r="M35" t="n">
        <v>50</v>
      </c>
      <c r="N35" t="n">
        <v>5587.5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200</v>
      </c>
      <c r="F36" t="n">
        <v>0</v>
      </c>
      <c r="G36" t="n">
        <v>0</v>
      </c>
      <c r="H36" t="n">
        <v>0</v>
      </c>
      <c r="I36" t="n">
        <v>200</v>
      </c>
      <c r="J36" t="n">
        <v>0</v>
      </c>
      <c r="K36" t="n">
        <v>50</v>
      </c>
      <c r="L36" t="n">
        <v>0</v>
      </c>
      <c r="M36" t="n">
        <v>50</v>
      </c>
      <c r="N36" t="n">
        <v>5637.5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200</v>
      </c>
      <c r="F4" t="n">
        <v>0</v>
      </c>
      <c r="G4" t="n">
        <v>100</v>
      </c>
      <c r="H4" t="n">
        <v>100</v>
      </c>
      <c r="I4" t="n">
        <v>100</v>
      </c>
      <c r="J4" t="n">
        <v>0</v>
      </c>
      <c r="K4" t="n">
        <v>25</v>
      </c>
      <c r="L4" t="n">
        <v>0</v>
      </c>
      <c r="M4" t="n">
        <v>25</v>
      </c>
      <c r="N4" t="n">
        <v>112.5</v>
      </c>
      <c r="P4" t="n">
        <v>300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100</v>
      </c>
      <c r="F5" t="n">
        <v>0</v>
      </c>
      <c r="G5" t="n">
        <v>100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100</v>
      </c>
      <c r="C6" t="n">
        <v>100</v>
      </c>
      <c r="D6" t="n">
        <v>100</v>
      </c>
      <c r="E6" t="n">
        <v>0</v>
      </c>
      <c r="F6" t="n">
        <v>0</v>
      </c>
      <c r="G6" t="n">
        <v>100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112.5</v>
      </c>
      <c r="P6" t="n">
        <v>400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100</v>
      </c>
      <c r="C7" t="n">
        <v>100</v>
      </c>
      <c r="D7" t="n">
        <v>100</v>
      </c>
      <c r="E7" t="n">
        <v>0</v>
      </c>
      <c r="F7" t="n">
        <v>0</v>
      </c>
      <c r="G7" t="n">
        <v>100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112.5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100</v>
      </c>
      <c r="C8" t="n">
        <v>100</v>
      </c>
      <c r="D8" t="n">
        <v>300</v>
      </c>
      <c r="E8" t="n">
        <v>0</v>
      </c>
      <c r="F8" t="n">
        <v>0</v>
      </c>
      <c r="G8" t="n">
        <v>100</v>
      </c>
      <c r="H8" t="n">
        <v>100</v>
      </c>
      <c r="I8" t="n">
        <v>200</v>
      </c>
      <c r="J8" t="n">
        <v>0</v>
      </c>
      <c r="K8" t="n">
        <v>50</v>
      </c>
      <c r="L8" t="n">
        <v>0</v>
      </c>
      <c r="M8" t="n">
        <v>50</v>
      </c>
      <c r="N8" t="n">
        <v>162.5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200</v>
      </c>
      <c r="C9" t="n">
        <v>200</v>
      </c>
      <c r="D9" t="n">
        <v>300</v>
      </c>
      <c r="E9" t="n">
        <v>200</v>
      </c>
      <c r="F9" t="n">
        <v>0</v>
      </c>
      <c r="G9" t="n">
        <v>200</v>
      </c>
      <c r="H9" t="n">
        <v>200</v>
      </c>
      <c r="I9" t="n">
        <v>300</v>
      </c>
      <c r="J9" t="n">
        <v>0</v>
      </c>
      <c r="K9" t="n">
        <v>75</v>
      </c>
      <c r="L9" t="n">
        <v>0</v>
      </c>
      <c r="M9" t="n">
        <v>75</v>
      </c>
      <c r="N9" t="n">
        <v>237.5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400</v>
      </c>
      <c r="C10" t="n">
        <v>400</v>
      </c>
      <c r="D10" t="n">
        <v>300</v>
      </c>
      <c r="E10" t="n">
        <v>300</v>
      </c>
      <c r="F10" t="n">
        <v>0</v>
      </c>
      <c r="G10" t="n">
        <v>400</v>
      </c>
      <c r="H10" t="n">
        <v>400</v>
      </c>
      <c r="I10" t="n">
        <v>200</v>
      </c>
      <c r="J10" t="n">
        <v>0</v>
      </c>
      <c r="K10" t="n">
        <v>50</v>
      </c>
      <c r="L10" t="n">
        <v>0</v>
      </c>
      <c r="M10" t="n">
        <v>50</v>
      </c>
      <c r="N10" t="n">
        <v>287.5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500</v>
      </c>
      <c r="C11" t="n">
        <v>500</v>
      </c>
      <c r="D11" t="n">
        <v>300</v>
      </c>
      <c r="E11" t="n">
        <v>200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287.5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500</v>
      </c>
      <c r="C12" t="n">
        <v>500</v>
      </c>
      <c r="D12" t="n">
        <v>200</v>
      </c>
      <c r="E12" t="n">
        <v>0</v>
      </c>
      <c r="F12" t="n">
        <v>0</v>
      </c>
      <c r="G12" t="n">
        <v>500</v>
      </c>
      <c r="H12" t="n">
        <v>200</v>
      </c>
      <c r="I12" t="n">
        <v>0</v>
      </c>
      <c r="J12" t="n">
        <v>300</v>
      </c>
      <c r="K12" t="n">
        <v>0</v>
      </c>
      <c r="L12" t="n">
        <v>300</v>
      </c>
      <c r="M12" t="n">
        <v>300</v>
      </c>
      <c r="N12" t="n">
        <v>587.5</v>
      </c>
      <c r="P12" t="n">
        <v>400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300</v>
      </c>
      <c r="C13" t="n">
        <v>300</v>
      </c>
      <c r="D13" t="n">
        <v>0</v>
      </c>
      <c r="E13" t="n">
        <v>0</v>
      </c>
      <c r="F13" t="n">
        <v>300</v>
      </c>
      <c r="G13" t="n">
        <v>600</v>
      </c>
      <c r="H13" t="n">
        <v>0</v>
      </c>
      <c r="I13" t="n">
        <v>0</v>
      </c>
      <c r="J13" t="n">
        <v>600</v>
      </c>
      <c r="K13" t="n">
        <v>0</v>
      </c>
      <c r="L13" t="n">
        <v>600</v>
      </c>
      <c r="M13" t="n">
        <v>600</v>
      </c>
      <c r="N13" t="n">
        <v>1187.5</v>
      </c>
      <c r="P13" t="n">
        <v>700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600</v>
      </c>
      <c r="G14" t="n">
        <v>600</v>
      </c>
      <c r="H14" t="n">
        <v>0</v>
      </c>
      <c r="I14" t="n">
        <v>0</v>
      </c>
      <c r="J14" t="n">
        <v>600</v>
      </c>
      <c r="K14" t="n">
        <v>0</v>
      </c>
      <c r="L14" t="n">
        <v>600</v>
      </c>
      <c r="M14" t="n">
        <v>600</v>
      </c>
      <c r="N14" t="n">
        <v>1787.5</v>
      </c>
      <c r="P14" t="n">
        <v>700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600</v>
      </c>
      <c r="G15" t="n">
        <v>600</v>
      </c>
      <c r="H15" t="n">
        <v>0</v>
      </c>
      <c r="I15" t="n">
        <v>0</v>
      </c>
      <c r="J15" t="n">
        <v>600</v>
      </c>
      <c r="K15" t="n">
        <v>0</v>
      </c>
      <c r="L15" t="n">
        <v>600</v>
      </c>
      <c r="M15" t="n">
        <v>600</v>
      </c>
      <c r="N15" t="n">
        <v>2387.5</v>
      </c>
      <c r="P15" t="n">
        <v>300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100</v>
      </c>
      <c r="C16" t="n">
        <v>100</v>
      </c>
      <c r="D16" t="n">
        <v>400</v>
      </c>
      <c r="E16" t="n">
        <v>0</v>
      </c>
      <c r="F16" t="n">
        <v>600</v>
      </c>
      <c r="G16" t="n">
        <v>700</v>
      </c>
      <c r="H16" t="n">
        <v>400</v>
      </c>
      <c r="I16" t="n">
        <v>0</v>
      </c>
      <c r="J16" t="n">
        <v>300</v>
      </c>
      <c r="K16" t="n">
        <v>0</v>
      </c>
      <c r="L16" t="n">
        <v>300</v>
      </c>
      <c r="M16" t="n">
        <v>300</v>
      </c>
      <c r="N16" t="n">
        <v>2687.5</v>
      </c>
      <c r="P16" t="n">
        <v>200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100</v>
      </c>
      <c r="C17" t="n">
        <v>100</v>
      </c>
      <c r="D17" t="n">
        <v>200</v>
      </c>
      <c r="E17" t="n">
        <v>0</v>
      </c>
      <c r="F17" t="n">
        <v>300</v>
      </c>
      <c r="G17" t="n">
        <v>400</v>
      </c>
      <c r="H17" t="n">
        <v>200</v>
      </c>
      <c r="I17" t="n">
        <v>0</v>
      </c>
      <c r="J17" t="n">
        <v>200</v>
      </c>
      <c r="K17" t="n">
        <v>0</v>
      </c>
      <c r="L17" t="n">
        <v>200</v>
      </c>
      <c r="M17" t="n">
        <v>200</v>
      </c>
      <c r="N17" t="n">
        <v>2887.5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200</v>
      </c>
      <c r="C18" t="n">
        <v>200</v>
      </c>
      <c r="D18" t="n">
        <v>400</v>
      </c>
      <c r="E18" t="n">
        <v>0</v>
      </c>
      <c r="F18" t="n">
        <v>200</v>
      </c>
      <c r="G18" t="n">
        <v>400</v>
      </c>
      <c r="H18" t="n">
        <v>400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2887.5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200</v>
      </c>
      <c r="C19" t="n">
        <v>200</v>
      </c>
      <c r="D19" t="n">
        <v>600</v>
      </c>
      <c r="E19" t="n">
        <v>0</v>
      </c>
      <c r="F19" t="n">
        <v>0</v>
      </c>
      <c r="G19" t="n">
        <v>200</v>
      </c>
      <c r="H19" t="n">
        <v>200</v>
      </c>
      <c r="I19" t="n">
        <v>400</v>
      </c>
      <c r="J19" t="n">
        <v>0</v>
      </c>
      <c r="K19" t="n">
        <v>100</v>
      </c>
      <c r="L19" t="n">
        <v>0</v>
      </c>
      <c r="M19" t="n">
        <v>100</v>
      </c>
      <c r="N19" t="n">
        <v>2987.5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400</v>
      </c>
      <c r="E20" t="n">
        <v>400</v>
      </c>
      <c r="F20" t="n">
        <v>0</v>
      </c>
      <c r="G20" t="n">
        <v>0</v>
      </c>
      <c r="H20" t="n">
        <v>0</v>
      </c>
      <c r="I20" t="n">
        <v>800</v>
      </c>
      <c r="J20" t="n">
        <v>0</v>
      </c>
      <c r="K20" t="n">
        <v>200</v>
      </c>
      <c r="L20" t="n">
        <v>0</v>
      </c>
      <c r="M20" t="n">
        <v>200</v>
      </c>
      <c r="N20" t="n">
        <v>3187.5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200</v>
      </c>
      <c r="E21" t="n">
        <v>800</v>
      </c>
      <c r="F21" t="n">
        <v>0</v>
      </c>
      <c r="G21" t="n">
        <v>0</v>
      </c>
      <c r="H21" t="n">
        <v>0</v>
      </c>
      <c r="I21" t="n">
        <v>1000</v>
      </c>
      <c r="J21" t="n">
        <v>0</v>
      </c>
      <c r="K21" t="n">
        <v>250</v>
      </c>
      <c r="L21" t="n">
        <v>0</v>
      </c>
      <c r="M21" t="n">
        <v>250</v>
      </c>
      <c r="N21" t="n">
        <v>3437.5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100</v>
      </c>
      <c r="E22" t="n">
        <v>1000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275</v>
      </c>
      <c r="L22" t="n">
        <v>0</v>
      </c>
      <c r="M22" t="n">
        <v>275</v>
      </c>
      <c r="N22" t="n">
        <v>3712.5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1100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275</v>
      </c>
      <c r="L23" t="n">
        <v>0</v>
      </c>
      <c r="M23" t="n">
        <v>275</v>
      </c>
      <c r="N23" t="n">
        <v>3987.5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1100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275</v>
      </c>
      <c r="L24" t="n">
        <v>0</v>
      </c>
      <c r="M24" t="n">
        <v>275</v>
      </c>
      <c r="N24" t="n">
        <v>4262.5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300</v>
      </c>
      <c r="C25" t="n">
        <v>300</v>
      </c>
      <c r="D25" t="n">
        <v>0</v>
      </c>
      <c r="E25" t="n">
        <v>1100</v>
      </c>
      <c r="F25" t="n">
        <v>0</v>
      </c>
      <c r="G25" t="n">
        <v>300</v>
      </c>
      <c r="H25" t="n">
        <v>300</v>
      </c>
      <c r="I25" t="n">
        <v>800</v>
      </c>
      <c r="J25" t="n">
        <v>0</v>
      </c>
      <c r="K25" t="n">
        <v>200</v>
      </c>
      <c r="L25" t="n">
        <v>0</v>
      </c>
      <c r="M25" t="n">
        <v>200</v>
      </c>
      <c r="N25" t="n">
        <v>4462.5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300</v>
      </c>
      <c r="C26" t="n">
        <v>300</v>
      </c>
      <c r="D26" t="n">
        <v>0</v>
      </c>
      <c r="E26" t="n">
        <v>800</v>
      </c>
      <c r="F26" t="n">
        <v>0</v>
      </c>
      <c r="G26" t="n">
        <v>300</v>
      </c>
      <c r="H26" t="n">
        <v>300</v>
      </c>
      <c r="I26" t="n">
        <v>500</v>
      </c>
      <c r="J26" t="n">
        <v>0</v>
      </c>
      <c r="K26" t="n">
        <v>125</v>
      </c>
      <c r="L26" t="n">
        <v>0</v>
      </c>
      <c r="M26" t="n">
        <v>125</v>
      </c>
      <c r="N26" t="n">
        <v>4587.5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400</v>
      </c>
      <c r="C27" t="n">
        <v>400</v>
      </c>
      <c r="D27" t="n">
        <v>0</v>
      </c>
      <c r="E27" t="n">
        <v>500</v>
      </c>
      <c r="F27" t="n">
        <v>0</v>
      </c>
      <c r="G27" t="n">
        <v>400</v>
      </c>
      <c r="H27" t="n">
        <v>400</v>
      </c>
      <c r="I27" t="n">
        <v>100</v>
      </c>
      <c r="J27" t="n">
        <v>0</v>
      </c>
      <c r="K27" t="n">
        <v>25</v>
      </c>
      <c r="L27" t="n">
        <v>0</v>
      </c>
      <c r="M27" t="n">
        <v>25</v>
      </c>
      <c r="N27" t="n">
        <v>4612.5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100</v>
      </c>
      <c r="C28" t="n">
        <v>100</v>
      </c>
      <c r="D28" t="n">
        <v>0</v>
      </c>
      <c r="E28" t="n">
        <v>100</v>
      </c>
      <c r="F28" t="n">
        <v>0</v>
      </c>
      <c r="G28" t="n">
        <v>100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4612.5</v>
      </c>
      <c r="P28" t="n">
        <v>100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4612.5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4612.5</v>
      </c>
      <c r="P30" t="n">
        <v>100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4612.5</v>
      </c>
      <c r="P31" t="n">
        <v>200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100</v>
      </c>
      <c r="E32" t="n">
        <v>0</v>
      </c>
      <c r="F32" t="n">
        <v>0</v>
      </c>
      <c r="G32" t="n">
        <v>0</v>
      </c>
      <c r="H32" t="n">
        <v>0</v>
      </c>
      <c r="I32" t="n">
        <v>100</v>
      </c>
      <c r="J32" t="n">
        <v>0</v>
      </c>
      <c r="K32" t="n">
        <v>25</v>
      </c>
      <c r="L32" t="n">
        <v>0</v>
      </c>
      <c r="M32" t="n">
        <v>25</v>
      </c>
      <c r="N32" t="n">
        <v>4637.5</v>
      </c>
      <c r="P32" t="n">
        <v>100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100</v>
      </c>
      <c r="E33" t="n">
        <v>100</v>
      </c>
      <c r="F33" t="n">
        <v>0</v>
      </c>
      <c r="G33" t="n">
        <v>0</v>
      </c>
      <c r="H33" t="n">
        <v>0</v>
      </c>
      <c r="I33" t="n">
        <v>200</v>
      </c>
      <c r="J33" t="n">
        <v>0</v>
      </c>
      <c r="K33" t="n">
        <v>50</v>
      </c>
      <c r="L33" t="n">
        <v>0</v>
      </c>
      <c r="M33" t="n">
        <v>50</v>
      </c>
      <c r="N33" t="n">
        <v>4687.5</v>
      </c>
      <c r="P33" t="n">
        <v>400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200</v>
      </c>
      <c r="F34" t="n">
        <v>0</v>
      </c>
      <c r="G34" t="n">
        <v>0</v>
      </c>
      <c r="H34" t="n">
        <v>0</v>
      </c>
      <c r="I34" t="n">
        <v>200</v>
      </c>
      <c r="J34" t="n">
        <v>0</v>
      </c>
      <c r="K34" t="n">
        <v>50</v>
      </c>
      <c r="L34" t="n">
        <v>0</v>
      </c>
      <c r="M34" t="n">
        <v>50</v>
      </c>
      <c r="N34" t="n">
        <v>4737.5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200</v>
      </c>
      <c r="C35" t="n">
        <v>200</v>
      </c>
      <c r="D35" t="n">
        <v>300</v>
      </c>
      <c r="E35" t="n">
        <v>200</v>
      </c>
      <c r="F35" t="n">
        <v>0</v>
      </c>
      <c r="G35" t="n">
        <v>200</v>
      </c>
      <c r="H35" t="n">
        <v>200</v>
      </c>
      <c r="I35" t="n">
        <v>300</v>
      </c>
      <c r="J35" t="n">
        <v>0</v>
      </c>
      <c r="K35" t="n">
        <v>75</v>
      </c>
      <c r="L35" t="n">
        <v>0</v>
      </c>
      <c r="M35" t="n">
        <v>75</v>
      </c>
      <c r="N35" t="n">
        <v>4812.5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400</v>
      </c>
      <c r="C36" t="n">
        <v>400</v>
      </c>
      <c r="D36" t="n">
        <v>100</v>
      </c>
      <c r="E36" t="n">
        <v>300</v>
      </c>
      <c r="F36" t="n">
        <v>0</v>
      </c>
      <c r="G36" t="n">
        <v>400</v>
      </c>
      <c r="H36" t="n">
        <v>400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4812.5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200</v>
      </c>
      <c r="E4" t="n">
        <v>200</v>
      </c>
      <c r="F4" t="n">
        <v>0</v>
      </c>
      <c r="G4" t="n">
        <v>100</v>
      </c>
      <c r="H4" t="n">
        <v>100</v>
      </c>
      <c r="I4" t="n">
        <v>300</v>
      </c>
      <c r="J4" t="n">
        <v>0</v>
      </c>
      <c r="K4" t="n">
        <v>75</v>
      </c>
      <c r="L4" t="n">
        <v>0</v>
      </c>
      <c r="M4" t="n">
        <v>75</v>
      </c>
      <c r="N4" t="n">
        <v>162.5</v>
      </c>
      <c r="P4" t="n">
        <v>300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300</v>
      </c>
      <c r="F5" t="n">
        <v>0</v>
      </c>
      <c r="G5" t="n">
        <v>100</v>
      </c>
      <c r="H5" t="n">
        <v>100</v>
      </c>
      <c r="I5" t="n">
        <v>200</v>
      </c>
      <c r="J5" t="n">
        <v>0</v>
      </c>
      <c r="K5" t="n">
        <v>50</v>
      </c>
      <c r="L5" t="n">
        <v>0</v>
      </c>
      <c r="M5" t="n">
        <v>50</v>
      </c>
      <c r="N5" t="n">
        <v>212.5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300</v>
      </c>
      <c r="C6" t="n">
        <v>300</v>
      </c>
      <c r="D6" t="n">
        <v>300</v>
      </c>
      <c r="E6" t="n">
        <v>200</v>
      </c>
      <c r="F6" t="n">
        <v>0</v>
      </c>
      <c r="G6" t="n">
        <v>300</v>
      </c>
      <c r="H6" t="n">
        <v>300</v>
      </c>
      <c r="I6" t="n">
        <v>200</v>
      </c>
      <c r="J6" t="n">
        <v>0</v>
      </c>
      <c r="K6" t="n">
        <v>50</v>
      </c>
      <c r="L6" t="n">
        <v>0</v>
      </c>
      <c r="M6" t="n">
        <v>50</v>
      </c>
      <c r="N6" t="n">
        <v>262.5</v>
      </c>
      <c r="P6" t="n">
        <v>300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100</v>
      </c>
      <c r="E7" t="n">
        <v>200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262.5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400</v>
      </c>
      <c r="C8" t="n">
        <v>400</v>
      </c>
      <c r="D8" t="n">
        <v>300</v>
      </c>
      <c r="E8" t="n">
        <v>0</v>
      </c>
      <c r="F8" t="n">
        <v>0</v>
      </c>
      <c r="G8" t="n">
        <v>400</v>
      </c>
      <c r="H8" t="n">
        <v>300</v>
      </c>
      <c r="I8" t="n">
        <v>0</v>
      </c>
      <c r="J8" t="n">
        <v>100</v>
      </c>
      <c r="K8" t="n">
        <v>0</v>
      </c>
      <c r="L8" t="n">
        <v>100</v>
      </c>
      <c r="M8" t="n">
        <v>100</v>
      </c>
      <c r="N8" t="n">
        <v>362.5</v>
      </c>
      <c r="P8" t="n">
        <v>300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300</v>
      </c>
      <c r="C9" t="n">
        <v>300</v>
      </c>
      <c r="D9" t="n">
        <v>300</v>
      </c>
      <c r="E9" t="n">
        <v>0</v>
      </c>
      <c r="F9" t="n">
        <v>100</v>
      </c>
      <c r="G9" t="n">
        <v>400</v>
      </c>
      <c r="H9" t="n">
        <v>300</v>
      </c>
      <c r="I9" t="n">
        <v>0</v>
      </c>
      <c r="J9" t="n">
        <v>100</v>
      </c>
      <c r="K9" t="n">
        <v>0</v>
      </c>
      <c r="L9" t="n">
        <v>100</v>
      </c>
      <c r="M9" t="n">
        <v>100</v>
      </c>
      <c r="N9" t="n">
        <v>462.5</v>
      </c>
      <c r="P9" t="n">
        <v>200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100</v>
      </c>
      <c r="C10" t="n">
        <v>100</v>
      </c>
      <c r="D10" t="n">
        <v>300</v>
      </c>
      <c r="E10" t="n">
        <v>0</v>
      </c>
      <c r="F10" t="n">
        <v>100</v>
      </c>
      <c r="G10" t="n">
        <v>200</v>
      </c>
      <c r="H10" t="n">
        <v>200</v>
      </c>
      <c r="I10" t="n">
        <v>100</v>
      </c>
      <c r="J10" t="n">
        <v>0</v>
      </c>
      <c r="K10" t="n">
        <v>25</v>
      </c>
      <c r="L10" t="n">
        <v>0</v>
      </c>
      <c r="M10" t="n">
        <v>25</v>
      </c>
      <c r="N10" t="n">
        <v>487.5</v>
      </c>
      <c r="P10" t="n">
        <v>300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0</v>
      </c>
      <c r="C11" t="n">
        <v>0</v>
      </c>
      <c r="D11" t="n">
        <v>200</v>
      </c>
      <c r="E11" t="n">
        <v>100</v>
      </c>
      <c r="F11" t="n">
        <v>0</v>
      </c>
      <c r="G11" t="n">
        <v>0</v>
      </c>
      <c r="H11" t="n">
        <v>0</v>
      </c>
      <c r="I11" t="n">
        <v>300</v>
      </c>
      <c r="J11" t="n">
        <v>0</v>
      </c>
      <c r="K11" t="n">
        <v>75</v>
      </c>
      <c r="L11" t="n">
        <v>0</v>
      </c>
      <c r="M11" t="n">
        <v>75</v>
      </c>
      <c r="N11" t="n">
        <v>562.5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0</v>
      </c>
      <c r="C12" t="n">
        <v>0</v>
      </c>
      <c r="D12" t="n">
        <v>300</v>
      </c>
      <c r="E12" t="n">
        <v>300</v>
      </c>
      <c r="F12" t="n">
        <v>0</v>
      </c>
      <c r="G12" t="n">
        <v>0</v>
      </c>
      <c r="H12" t="n">
        <v>0</v>
      </c>
      <c r="I12" t="n">
        <v>600</v>
      </c>
      <c r="J12" t="n">
        <v>0</v>
      </c>
      <c r="K12" t="n">
        <v>150</v>
      </c>
      <c r="L12" t="n">
        <v>0</v>
      </c>
      <c r="M12" t="n">
        <v>150</v>
      </c>
      <c r="N12" t="n">
        <v>712.5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600</v>
      </c>
      <c r="F13" t="n">
        <v>0</v>
      </c>
      <c r="G13" t="n">
        <v>0</v>
      </c>
      <c r="H13" t="n">
        <v>0</v>
      </c>
      <c r="I13" t="n">
        <v>600</v>
      </c>
      <c r="J13" t="n">
        <v>0</v>
      </c>
      <c r="K13" t="n">
        <v>150</v>
      </c>
      <c r="L13" t="n">
        <v>0</v>
      </c>
      <c r="M13" t="n">
        <v>150</v>
      </c>
      <c r="N13" t="n">
        <v>862.5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400</v>
      </c>
      <c r="C14" t="n">
        <v>400</v>
      </c>
      <c r="D14" t="n">
        <v>0</v>
      </c>
      <c r="E14" t="n">
        <v>600</v>
      </c>
      <c r="F14" t="n">
        <v>0</v>
      </c>
      <c r="G14" t="n">
        <v>400</v>
      </c>
      <c r="H14" t="n">
        <v>400</v>
      </c>
      <c r="I14" t="n">
        <v>200</v>
      </c>
      <c r="J14" t="n">
        <v>0</v>
      </c>
      <c r="K14" t="n">
        <v>50</v>
      </c>
      <c r="L14" t="n">
        <v>0</v>
      </c>
      <c r="M14" t="n">
        <v>50</v>
      </c>
      <c r="N14" t="n">
        <v>912.5</v>
      </c>
      <c r="P14" t="n">
        <v>400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700</v>
      </c>
      <c r="C15" t="n">
        <v>700</v>
      </c>
      <c r="D15" t="n">
        <v>0</v>
      </c>
      <c r="E15" t="n">
        <v>200</v>
      </c>
      <c r="F15" t="n">
        <v>0</v>
      </c>
      <c r="G15" t="n">
        <v>700</v>
      </c>
      <c r="H15" t="n">
        <v>200</v>
      </c>
      <c r="I15" t="n">
        <v>0</v>
      </c>
      <c r="J15" t="n">
        <v>500</v>
      </c>
      <c r="K15" t="n">
        <v>0</v>
      </c>
      <c r="L15" t="n">
        <v>500</v>
      </c>
      <c r="M15" t="n">
        <v>500</v>
      </c>
      <c r="N15" t="n">
        <v>1412.5</v>
      </c>
      <c r="P15" t="n">
        <v>600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700</v>
      </c>
      <c r="C16" t="n">
        <v>700</v>
      </c>
      <c r="D16" t="n">
        <v>400</v>
      </c>
      <c r="E16" t="n">
        <v>0</v>
      </c>
      <c r="F16" t="n">
        <v>500</v>
      </c>
      <c r="G16" t="n">
        <v>1200</v>
      </c>
      <c r="H16" t="n">
        <v>400</v>
      </c>
      <c r="I16" t="n">
        <v>0</v>
      </c>
      <c r="J16" t="n">
        <v>800</v>
      </c>
      <c r="K16" t="n">
        <v>0</v>
      </c>
      <c r="L16" t="n">
        <v>800</v>
      </c>
      <c r="M16" t="n">
        <v>800</v>
      </c>
      <c r="N16" t="n">
        <v>2212.5</v>
      </c>
      <c r="P16" t="n">
        <v>400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300</v>
      </c>
      <c r="C17" t="n">
        <v>300</v>
      </c>
      <c r="D17" t="n">
        <v>600</v>
      </c>
      <c r="E17" t="n">
        <v>0</v>
      </c>
      <c r="F17" t="n">
        <v>800</v>
      </c>
      <c r="G17" t="n">
        <v>1100</v>
      </c>
      <c r="H17" t="n">
        <v>600</v>
      </c>
      <c r="I17" t="n">
        <v>0</v>
      </c>
      <c r="J17" t="n">
        <v>500</v>
      </c>
      <c r="K17" t="n">
        <v>0</v>
      </c>
      <c r="L17" t="n">
        <v>500</v>
      </c>
      <c r="M17" t="n">
        <v>500</v>
      </c>
      <c r="N17" t="n">
        <v>2712.5</v>
      </c>
      <c r="P17" t="n">
        <v>200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200</v>
      </c>
      <c r="C18" t="n">
        <v>200</v>
      </c>
      <c r="D18" t="n">
        <v>400</v>
      </c>
      <c r="E18" t="n">
        <v>0</v>
      </c>
      <c r="F18" t="n">
        <v>500</v>
      </c>
      <c r="G18" t="n">
        <v>700</v>
      </c>
      <c r="H18" t="n">
        <v>400</v>
      </c>
      <c r="I18" t="n">
        <v>0</v>
      </c>
      <c r="J18" t="n">
        <v>300</v>
      </c>
      <c r="K18" t="n">
        <v>0</v>
      </c>
      <c r="L18" t="n">
        <v>300</v>
      </c>
      <c r="M18" t="n">
        <v>300</v>
      </c>
      <c r="N18" t="n">
        <v>3012.5</v>
      </c>
      <c r="P18" t="n">
        <v>200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</v>
      </c>
      <c r="C19" t="n">
        <v>0</v>
      </c>
      <c r="D19" t="n">
        <v>200</v>
      </c>
      <c r="E19" t="n">
        <v>0</v>
      </c>
      <c r="F19" t="n">
        <v>300</v>
      </c>
      <c r="G19" t="n">
        <v>300</v>
      </c>
      <c r="H19" t="n">
        <v>200</v>
      </c>
      <c r="I19" t="n">
        <v>0</v>
      </c>
      <c r="J19" t="n">
        <v>100</v>
      </c>
      <c r="K19" t="n">
        <v>0</v>
      </c>
      <c r="L19" t="n">
        <v>100</v>
      </c>
      <c r="M19" t="n">
        <v>100</v>
      </c>
      <c r="N19" t="n">
        <v>3112.5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200</v>
      </c>
      <c r="E20" t="n">
        <v>0</v>
      </c>
      <c r="F20" t="n">
        <v>100</v>
      </c>
      <c r="G20" t="n">
        <v>100</v>
      </c>
      <c r="H20" t="n">
        <v>100</v>
      </c>
      <c r="I20" t="n">
        <v>100</v>
      </c>
      <c r="J20" t="n">
        <v>0</v>
      </c>
      <c r="K20" t="n">
        <v>25</v>
      </c>
      <c r="L20" t="n">
        <v>0</v>
      </c>
      <c r="M20" t="n">
        <v>25</v>
      </c>
      <c r="N20" t="n">
        <v>3137.5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100</v>
      </c>
      <c r="F21" t="n">
        <v>0</v>
      </c>
      <c r="G21" t="n">
        <v>0</v>
      </c>
      <c r="H21" t="n">
        <v>0</v>
      </c>
      <c r="I21" t="n">
        <v>100</v>
      </c>
      <c r="J21" t="n">
        <v>0</v>
      </c>
      <c r="K21" t="n">
        <v>25</v>
      </c>
      <c r="L21" t="n">
        <v>0</v>
      </c>
      <c r="M21" t="n">
        <v>25</v>
      </c>
      <c r="N21" t="n">
        <v>3162.5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100</v>
      </c>
      <c r="F22" t="n">
        <v>0</v>
      </c>
      <c r="G22" t="n">
        <v>0</v>
      </c>
      <c r="H22" t="n">
        <v>0</v>
      </c>
      <c r="I22" t="n">
        <v>100</v>
      </c>
      <c r="J22" t="n">
        <v>0</v>
      </c>
      <c r="K22" t="n">
        <v>25</v>
      </c>
      <c r="L22" t="n">
        <v>0</v>
      </c>
      <c r="M22" t="n">
        <v>25</v>
      </c>
      <c r="N22" t="n">
        <v>3187.5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100</v>
      </c>
      <c r="F23" t="n">
        <v>0</v>
      </c>
      <c r="G23" t="n">
        <v>0</v>
      </c>
      <c r="H23" t="n">
        <v>0</v>
      </c>
      <c r="I23" t="n">
        <v>100</v>
      </c>
      <c r="J23" t="n">
        <v>0</v>
      </c>
      <c r="K23" t="n">
        <v>25</v>
      </c>
      <c r="L23" t="n">
        <v>0</v>
      </c>
      <c r="M23" t="n">
        <v>25</v>
      </c>
      <c r="N23" t="n">
        <v>3212.5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100</v>
      </c>
      <c r="F24" t="n">
        <v>0</v>
      </c>
      <c r="G24" t="n">
        <v>0</v>
      </c>
      <c r="H24" t="n">
        <v>0</v>
      </c>
      <c r="I24" t="n">
        <v>100</v>
      </c>
      <c r="J24" t="n">
        <v>0</v>
      </c>
      <c r="K24" t="n">
        <v>25</v>
      </c>
      <c r="L24" t="n">
        <v>0</v>
      </c>
      <c r="M24" t="n">
        <v>25</v>
      </c>
      <c r="N24" t="n">
        <v>3237.5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100</v>
      </c>
      <c r="F25" t="n">
        <v>0</v>
      </c>
      <c r="G25" t="n">
        <v>0</v>
      </c>
      <c r="H25" t="n">
        <v>0</v>
      </c>
      <c r="I25" t="n">
        <v>100</v>
      </c>
      <c r="J25" t="n">
        <v>0</v>
      </c>
      <c r="K25" t="n">
        <v>25</v>
      </c>
      <c r="L25" t="n">
        <v>0</v>
      </c>
      <c r="M25" t="n">
        <v>25</v>
      </c>
      <c r="N25" t="n">
        <v>3262.5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100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25</v>
      </c>
      <c r="L26" t="n">
        <v>0</v>
      </c>
      <c r="M26" t="n">
        <v>25</v>
      </c>
      <c r="N26" t="n">
        <v>3287.5</v>
      </c>
      <c r="P26" t="n">
        <v>100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100</v>
      </c>
      <c r="F27" t="n">
        <v>0</v>
      </c>
      <c r="G27" t="n">
        <v>0</v>
      </c>
      <c r="H27" t="n">
        <v>0</v>
      </c>
      <c r="I27" t="n">
        <v>100</v>
      </c>
      <c r="J27" t="n">
        <v>0</v>
      </c>
      <c r="K27" t="n">
        <v>25</v>
      </c>
      <c r="L27" t="n">
        <v>0</v>
      </c>
      <c r="M27" t="n">
        <v>25</v>
      </c>
      <c r="N27" t="n">
        <v>3312.5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100</v>
      </c>
      <c r="E28" t="n">
        <v>100</v>
      </c>
      <c r="F28" t="n">
        <v>0</v>
      </c>
      <c r="G28" t="n">
        <v>0</v>
      </c>
      <c r="H28" t="n">
        <v>0</v>
      </c>
      <c r="I28" t="n">
        <v>200</v>
      </c>
      <c r="J28" t="n">
        <v>0</v>
      </c>
      <c r="K28" t="n">
        <v>50</v>
      </c>
      <c r="L28" t="n">
        <v>0</v>
      </c>
      <c r="M28" t="n">
        <v>50</v>
      </c>
      <c r="N28" t="n">
        <v>3362.5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200</v>
      </c>
      <c r="F29" t="n">
        <v>0</v>
      </c>
      <c r="G29" t="n">
        <v>0</v>
      </c>
      <c r="H29" t="n">
        <v>0</v>
      </c>
      <c r="I29" t="n">
        <v>200</v>
      </c>
      <c r="J29" t="n">
        <v>0</v>
      </c>
      <c r="K29" t="n">
        <v>50</v>
      </c>
      <c r="L29" t="n">
        <v>0</v>
      </c>
      <c r="M29" t="n">
        <v>50</v>
      </c>
      <c r="N29" t="n">
        <v>3412.5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100</v>
      </c>
      <c r="C30" t="n">
        <v>100</v>
      </c>
      <c r="D30" t="n">
        <v>0</v>
      </c>
      <c r="E30" t="n">
        <v>200</v>
      </c>
      <c r="F30" t="n">
        <v>0</v>
      </c>
      <c r="G30" t="n">
        <v>100</v>
      </c>
      <c r="H30" t="n">
        <v>100</v>
      </c>
      <c r="I30" t="n">
        <v>100</v>
      </c>
      <c r="J30" t="n">
        <v>0</v>
      </c>
      <c r="K30" t="n">
        <v>25</v>
      </c>
      <c r="L30" t="n">
        <v>0</v>
      </c>
      <c r="M30" t="n">
        <v>25</v>
      </c>
      <c r="N30" t="n">
        <v>3437.5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100</v>
      </c>
      <c r="C31" t="n">
        <v>100</v>
      </c>
      <c r="D31" t="n">
        <v>0</v>
      </c>
      <c r="E31" t="n">
        <v>100</v>
      </c>
      <c r="F31" t="n">
        <v>0</v>
      </c>
      <c r="G31" t="n">
        <v>100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3437.5</v>
      </c>
      <c r="P31" t="n">
        <v>300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100</v>
      </c>
      <c r="C32" t="n">
        <v>100</v>
      </c>
      <c r="D32" t="n">
        <v>0</v>
      </c>
      <c r="E32" t="n">
        <v>0</v>
      </c>
      <c r="F32" t="n">
        <v>0</v>
      </c>
      <c r="G32" t="n">
        <v>100</v>
      </c>
      <c r="H32" t="n">
        <v>0</v>
      </c>
      <c r="I32" t="n">
        <v>0</v>
      </c>
      <c r="J32" t="n">
        <v>100</v>
      </c>
      <c r="K32" t="n">
        <v>0</v>
      </c>
      <c r="L32" t="n">
        <v>100</v>
      </c>
      <c r="M32" t="n">
        <v>100</v>
      </c>
      <c r="N32" t="n">
        <v>3537.5</v>
      </c>
      <c r="P32" t="n">
        <v>100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200</v>
      </c>
      <c r="C33" t="n">
        <v>200</v>
      </c>
      <c r="D33" t="n">
        <v>300</v>
      </c>
      <c r="E33" t="n">
        <v>0</v>
      </c>
      <c r="F33" t="n">
        <v>100</v>
      </c>
      <c r="G33" t="n">
        <v>300</v>
      </c>
      <c r="H33" t="n">
        <v>300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3537.5</v>
      </c>
      <c r="P33" t="n">
        <v>400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100</v>
      </c>
      <c r="C34" t="n">
        <v>100</v>
      </c>
      <c r="D34" t="n">
        <v>100</v>
      </c>
      <c r="E34" t="n">
        <v>0</v>
      </c>
      <c r="F34" t="n">
        <v>0</v>
      </c>
      <c r="G34" t="n">
        <v>100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3537.5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400</v>
      </c>
      <c r="C35" t="n">
        <v>400</v>
      </c>
      <c r="D35" t="n">
        <v>400</v>
      </c>
      <c r="E35" t="n">
        <v>0</v>
      </c>
      <c r="F35" t="n">
        <v>0</v>
      </c>
      <c r="G35" t="n">
        <v>400</v>
      </c>
      <c r="H35" t="n">
        <v>400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3537.5</v>
      </c>
      <c r="P35" t="n">
        <v>100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3537.5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91</v>
      </c>
      <c r="C2" t="n">
        <v>91</v>
      </c>
      <c r="D2" t="n">
        <v>50</v>
      </c>
      <c r="E2" t="n">
        <v>100</v>
      </c>
      <c r="F2" t="n">
        <v>0</v>
      </c>
      <c r="G2" t="n">
        <v>91</v>
      </c>
      <c r="H2" t="n">
        <v>91</v>
      </c>
      <c r="I2" t="n">
        <v>59</v>
      </c>
      <c r="J2" t="n">
        <v>0</v>
      </c>
      <c r="K2" t="n">
        <v>14.75</v>
      </c>
      <c r="L2" t="n">
        <v>0</v>
      </c>
      <c r="M2" t="n">
        <v>14.75</v>
      </c>
      <c r="N2" t="n">
        <v>14.75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139</v>
      </c>
      <c r="C3" t="n">
        <v>139</v>
      </c>
      <c r="D3" t="n">
        <v>50</v>
      </c>
      <c r="E3" t="n">
        <v>59</v>
      </c>
      <c r="F3" t="n">
        <v>0</v>
      </c>
      <c r="G3" t="n">
        <v>139</v>
      </c>
      <c r="H3" t="n">
        <v>109</v>
      </c>
      <c r="I3" t="n">
        <v>0</v>
      </c>
      <c r="J3" t="n">
        <v>30</v>
      </c>
      <c r="K3" t="n">
        <v>0</v>
      </c>
      <c r="L3" t="n">
        <v>30</v>
      </c>
      <c r="M3" t="n">
        <v>30</v>
      </c>
      <c r="N3" t="n">
        <v>44.75</v>
      </c>
      <c r="P3" t="n">
        <v>130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109</v>
      </c>
      <c r="C4" t="n">
        <v>109</v>
      </c>
      <c r="D4" t="n">
        <v>0</v>
      </c>
      <c r="E4" t="n">
        <v>0</v>
      </c>
      <c r="F4" t="n">
        <v>30</v>
      </c>
      <c r="G4" t="n">
        <v>139</v>
      </c>
      <c r="H4" t="n">
        <v>0</v>
      </c>
      <c r="I4" t="n">
        <v>0</v>
      </c>
      <c r="J4" t="n">
        <v>139</v>
      </c>
      <c r="K4" t="n">
        <v>0</v>
      </c>
      <c r="L4" t="n">
        <v>139</v>
      </c>
      <c r="M4" t="n">
        <v>139</v>
      </c>
      <c r="N4" t="n">
        <v>183.75</v>
      </c>
      <c r="P4" t="n">
        <v>239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127</v>
      </c>
      <c r="C5" t="n">
        <v>127</v>
      </c>
      <c r="D5" t="n">
        <v>0</v>
      </c>
      <c r="E5" t="n">
        <v>0</v>
      </c>
      <c r="F5" t="n">
        <v>139</v>
      </c>
      <c r="G5" t="n">
        <v>266</v>
      </c>
      <c r="H5" t="n">
        <v>0</v>
      </c>
      <c r="I5" t="n">
        <v>0</v>
      </c>
      <c r="J5" t="n">
        <v>266</v>
      </c>
      <c r="K5" t="n">
        <v>0</v>
      </c>
      <c r="L5" t="n">
        <v>266</v>
      </c>
      <c r="M5" t="n">
        <v>266</v>
      </c>
      <c r="N5" t="n">
        <v>449.75</v>
      </c>
      <c r="P5" t="n">
        <v>366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103</v>
      </c>
      <c r="C6" t="n">
        <v>103</v>
      </c>
      <c r="D6" t="n">
        <v>0</v>
      </c>
      <c r="E6" t="n">
        <v>0</v>
      </c>
      <c r="F6" t="n">
        <v>266</v>
      </c>
      <c r="G6" t="n">
        <v>369</v>
      </c>
      <c r="H6" t="n">
        <v>0</v>
      </c>
      <c r="I6" t="n">
        <v>0</v>
      </c>
      <c r="J6" t="n">
        <v>369</v>
      </c>
      <c r="K6" t="n">
        <v>0</v>
      </c>
      <c r="L6" t="n">
        <v>369</v>
      </c>
      <c r="M6" t="n">
        <v>369</v>
      </c>
      <c r="N6" t="n">
        <v>818.75</v>
      </c>
      <c r="P6" t="n">
        <v>339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151</v>
      </c>
      <c r="C7" t="n">
        <v>151</v>
      </c>
      <c r="D7" t="n">
        <v>130</v>
      </c>
      <c r="E7" t="n">
        <v>0</v>
      </c>
      <c r="F7" t="n">
        <v>369</v>
      </c>
      <c r="G7" t="n">
        <v>520</v>
      </c>
      <c r="H7" t="n">
        <v>130</v>
      </c>
      <c r="I7" t="n">
        <v>0</v>
      </c>
      <c r="J7" t="n">
        <v>390</v>
      </c>
      <c r="K7" t="n">
        <v>0</v>
      </c>
      <c r="L7" t="n">
        <v>390</v>
      </c>
      <c r="M7" t="n">
        <v>390</v>
      </c>
      <c r="N7" t="n">
        <v>1208.75</v>
      </c>
      <c r="P7" t="n">
        <v>320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97</v>
      </c>
      <c r="C8" t="n">
        <v>97</v>
      </c>
      <c r="D8" t="n">
        <v>170</v>
      </c>
      <c r="E8" t="n">
        <v>0</v>
      </c>
      <c r="F8" t="n">
        <v>390</v>
      </c>
      <c r="G8" t="n">
        <v>487</v>
      </c>
      <c r="H8" t="n">
        <v>170</v>
      </c>
      <c r="I8" t="n">
        <v>0</v>
      </c>
      <c r="J8" t="n">
        <v>317</v>
      </c>
      <c r="K8" t="n">
        <v>0</v>
      </c>
      <c r="L8" t="n">
        <v>317</v>
      </c>
      <c r="M8" t="n">
        <v>317</v>
      </c>
      <c r="N8" t="n">
        <v>1525.75</v>
      </c>
      <c r="P8" t="n">
        <v>317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133</v>
      </c>
      <c r="C9" t="n">
        <v>133</v>
      </c>
      <c r="D9" t="n">
        <v>100</v>
      </c>
      <c r="E9" t="n">
        <v>0</v>
      </c>
      <c r="F9" t="n">
        <v>317</v>
      </c>
      <c r="G9" t="n">
        <v>450</v>
      </c>
      <c r="H9" t="n">
        <v>100</v>
      </c>
      <c r="I9" t="n">
        <v>0</v>
      </c>
      <c r="J9" t="n">
        <v>350</v>
      </c>
      <c r="K9" t="n">
        <v>0</v>
      </c>
      <c r="L9" t="n">
        <v>350</v>
      </c>
      <c r="M9" t="n">
        <v>350</v>
      </c>
      <c r="N9" t="n">
        <v>1875.75</v>
      </c>
      <c r="P9" t="n">
        <v>350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115</v>
      </c>
      <c r="C10" t="n">
        <v>115</v>
      </c>
      <c r="D10" t="n">
        <v>100</v>
      </c>
      <c r="E10" t="n">
        <v>0</v>
      </c>
      <c r="F10" t="n">
        <v>350</v>
      </c>
      <c r="G10" t="n">
        <v>465</v>
      </c>
      <c r="H10" t="n">
        <v>100</v>
      </c>
      <c r="I10" t="n">
        <v>0</v>
      </c>
      <c r="J10" t="n">
        <v>365</v>
      </c>
      <c r="K10" t="n">
        <v>0</v>
      </c>
      <c r="L10" t="n">
        <v>365</v>
      </c>
      <c r="M10" t="n">
        <v>365</v>
      </c>
      <c r="N10" t="n">
        <v>2240.75</v>
      </c>
      <c r="P10" t="n">
        <v>335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121</v>
      </c>
      <c r="C11" t="n">
        <v>121</v>
      </c>
      <c r="D11" t="n">
        <v>130</v>
      </c>
      <c r="E11" t="n">
        <v>0</v>
      </c>
      <c r="F11" t="n">
        <v>365</v>
      </c>
      <c r="G11" t="n">
        <v>486</v>
      </c>
      <c r="H11" t="n">
        <v>130</v>
      </c>
      <c r="I11" t="n">
        <v>0</v>
      </c>
      <c r="J11" t="n">
        <v>356</v>
      </c>
      <c r="K11" t="n">
        <v>0</v>
      </c>
      <c r="L11" t="n">
        <v>356</v>
      </c>
      <c r="M11" t="n">
        <v>356</v>
      </c>
      <c r="N11" t="n">
        <v>2596.75</v>
      </c>
      <c r="P11" t="n">
        <v>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85</v>
      </c>
      <c r="C12" t="n">
        <v>85</v>
      </c>
      <c r="D12" t="n">
        <v>69</v>
      </c>
      <c r="E12" t="n">
        <v>0</v>
      </c>
      <c r="F12" t="n">
        <v>356</v>
      </c>
      <c r="G12" t="n">
        <v>441</v>
      </c>
      <c r="H12" t="n">
        <v>69</v>
      </c>
      <c r="I12" t="n">
        <v>0</v>
      </c>
      <c r="J12" t="n">
        <v>372</v>
      </c>
      <c r="K12" t="n">
        <v>0</v>
      </c>
      <c r="L12" t="n">
        <v>372</v>
      </c>
      <c r="M12" t="n">
        <v>372</v>
      </c>
      <c r="N12" t="n">
        <v>2968.75</v>
      </c>
      <c r="P12" t="n">
        <v>137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145</v>
      </c>
      <c r="C13" t="n">
        <v>145</v>
      </c>
      <c r="D13" t="n">
        <v>335</v>
      </c>
      <c r="E13" t="n">
        <v>0</v>
      </c>
      <c r="F13" t="n">
        <v>372</v>
      </c>
      <c r="G13" t="n">
        <v>517</v>
      </c>
      <c r="H13" t="n">
        <v>335</v>
      </c>
      <c r="I13" t="n">
        <v>0</v>
      </c>
      <c r="J13" t="n">
        <v>182</v>
      </c>
      <c r="K13" t="n">
        <v>0</v>
      </c>
      <c r="L13" t="n">
        <v>182</v>
      </c>
      <c r="M13" t="n">
        <v>182</v>
      </c>
      <c r="N13" t="n">
        <v>3150.75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113</v>
      </c>
      <c r="C14" t="n">
        <v>113</v>
      </c>
      <c r="D14" t="n">
        <v>544</v>
      </c>
      <c r="E14" t="n">
        <v>0</v>
      </c>
      <c r="F14" t="n">
        <v>182</v>
      </c>
      <c r="G14" t="n">
        <v>295</v>
      </c>
      <c r="H14" t="n">
        <v>295</v>
      </c>
      <c r="I14" t="n">
        <v>249</v>
      </c>
      <c r="J14" t="n">
        <v>0</v>
      </c>
      <c r="K14" t="n">
        <v>62.25</v>
      </c>
      <c r="L14" t="n">
        <v>0</v>
      </c>
      <c r="M14" t="n">
        <v>62.25</v>
      </c>
      <c r="N14" t="n">
        <v>3213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117</v>
      </c>
      <c r="C15" t="n">
        <v>117</v>
      </c>
      <c r="D15" t="n">
        <v>322</v>
      </c>
      <c r="E15" t="n">
        <v>249</v>
      </c>
      <c r="F15" t="n">
        <v>0</v>
      </c>
      <c r="G15" t="n">
        <v>117</v>
      </c>
      <c r="H15" t="n">
        <v>117</v>
      </c>
      <c r="I15" t="n">
        <v>454</v>
      </c>
      <c r="J15" t="n">
        <v>0</v>
      </c>
      <c r="K15" t="n">
        <v>113.5</v>
      </c>
      <c r="L15" t="n">
        <v>0</v>
      </c>
      <c r="M15" t="n">
        <v>113.5</v>
      </c>
      <c r="N15" t="n">
        <v>3326.5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101</v>
      </c>
      <c r="C16" t="n">
        <v>101</v>
      </c>
      <c r="D16" t="n">
        <v>30</v>
      </c>
      <c r="E16" t="n">
        <v>454</v>
      </c>
      <c r="F16" t="n">
        <v>0</v>
      </c>
      <c r="G16" t="n">
        <v>101</v>
      </c>
      <c r="H16" t="n">
        <v>101</v>
      </c>
      <c r="I16" t="n">
        <v>383</v>
      </c>
      <c r="J16" t="n">
        <v>0</v>
      </c>
      <c r="K16" t="n">
        <v>95.75</v>
      </c>
      <c r="L16" t="n">
        <v>0</v>
      </c>
      <c r="M16" t="n">
        <v>95.75</v>
      </c>
      <c r="N16" t="n">
        <v>3422.25</v>
      </c>
      <c r="P16" t="n">
        <v>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129</v>
      </c>
      <c r="C17" t="n">
        <v>129</v>
      </c>
      <c r="D17" t="n">
        <v>0</v>
      </c>
      <c r="E17" t="n">
        <v>383</v>
      </c>
      <c r="F17" t="n">
        <v>0</v>
      </c>
      <c r="G17" t="n">
        <v>129</v>
      </c>
      <c r="H17" t="n">
        <v>129</v>
      </c>
      <c r="I17" t="n">
        <v>254</v>
      </c>
      <c r="J17" t="n">
        <v>0</v>
      </c>
      <c r="K17" t="n">
        <v>63.5</v>
      </c>
      <c r="L17" t="n">
        <v>0</v>
      </c>
      <c r="M17" t="n">
        <v>63.5</v>
      </c>
      <c r="N17" t="n">
        <v>3485.75</v>
      </c>
      <c r="P17" t="n">
        <v>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105</v>
      </c>
      <c r="C18" t="n">
        <v>105</v>
      </c>
      <c r="D18" t="n">
        <v>0</v>
      </c>
      <c r="E18" t="n">
        <v>254</v>
      </c>
      <c r="F18" t="n">
        <v>0</v>
      </c>
      <c r="G18" t="n">
        <v>105</v>
      </c>
      <c r="H18" t="n">
        <v>105</v>
      </c>
      <c r="I18" t="n">
        <v>149</v>
      </c>
      <c r="J18" t="n">
        <v>0</v>
      </c>
      <c r="K18" t="n">
        <v>37.25</v>
      </c>
      <c r="L18" t="n">
        <v>0</v>
      </c>
      <c r="M18" t="n">
        <v>37.25</v>
      </c>
      <c r="N18" t="n">
        <v>3523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125</v>
      </c>
      <c r="C19" t="n">
        <v>125</v>
      </c>
      <c r="D19" t="n">
        <v>543</v>
      </c>
      <c r="E19" t="n">
        <v>149</v>
      </c>
      <c r="F19" t="n">
        <v>0</v>
      </c>
      <c r="G19" t="n">
        <v>125</v>
      </c>
      <c r="H19" t="n">
        <v>125</v>
      </c>
      <c r="I19" t="n">
        <v>567</v>
      </c>
      <c r="J19" t="n">
        <v>0</v>
      </c>
      <c r="K19" t="n">
        <v>141.75</v>
      </c>
      <c r="L19" t="n">
        <v>0</v>
      </c>
      <c r="M19" t="n">
        <v>141.75</v>
      </c>
      <c r="N19" t="n">
        <v>3664.75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79</v>
      </c>
      <c r="C20" t="n">
        <v>79</v>
      </c>
      <c r="D20" t="n">
        <v>57</v>
      </c>
      <c r="E20" t="n">
        <v>567</v>
      </c>
      <c r="F20" t="n">
        <v>0</v>
      </c>
      <c r="G20" t="n">
        <v>79</v>
      </c>
      <c r="H20" t="n">
        <v>79</v>
      </c>
      <c r="I20" t="n">
        <v>545</v>
      </c>
      <c r="J20" t="n">
        <v>0</v>
      </c>
      <c r="K20" t="n">
        <v>136.25</v>
      </c>
      <c r="L20" t="n">
        <v>0</v>
      </c>
      <c r="M20" t="n">
        <v>136.25</v>
      </c>
      <c r="N20" t="n">
        <v>3801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163</v>
      </c>
      <c r="C21" t="n">
        <v>163</v>
      </c>
      <c r="D21" t="n">
        <v>543</v>
      </c>
      <c r="E21" t="n">
        <v>545</v>
      </c>
      <c r="F21" t="n">
        <v>0</v>
      </c>
      <c r="G21" t="n">
        <v>163</v>
      </c>
      <c r="H21" t="n">
        <v>163</v>
      </c>
      <c r="I21" t="n">
        <v>925</v>
      </c>
      <c r="J21" t="n">
        <v>0</v>
      </c>
      <c r="K21" t="n">
        <v>231.25</v>
      </c>
      <c r="L21" t="n">
        <v>0</v>
      </c>
      <c r="M21" t="n">
        <v>231.25</v>
      </c>
      <c r="N21" t="n">
        <v>4032.25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110</v>
      </c>
      <c r="C22" t="n">
        <v>110</v>
      </c>
      <c r="D22" t="n">
        <v>10</v>
      </c>
      <c r="E22" t="n">
        <v>925</v>
      </c>
      <c r="F22" t="n">
        <v>0</v>
      </c>
      <c r="G22" t="n">
        <v>110</v>
      </c>
      <c r="H22" t="n">
        <v>110</v>
      </c>
      <c r="I22" t="n">
        <v>825</v>
      </c>
      <c r="J22" t="n">
        <v>0</v>
      </c>
      <c r="K22" t="n">
        <v>206.25</v>
      </c>
      <c r="L22" t="n">
        <v>0</v>
      </c>
      <c r="M22" t="n">
        <v>206.25</v>
      </c>
      <c r="N22" t="n">
        <v>4238.5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120</v>
      </c>
      <c r="C23" t="n">
        <v>120</v>
      </c>
      <c r="D23" t="n">
        <v>0</v>
      </c>
      <c r="E23" t="n">
        <v>825</v>
      </c>
      <c r="F23" t="n">
        <v>0</v>
      </c>
      <c r="G23" t="n">
        <v>120</v>
      </c>
      <c r="H23" t="n">
        <v>120</v>
      </c>
      <c r="I23" t="n">
        <v>705</v>
      </c>
      <c r="J23" t="n">
        <v>0</v>
      </c>
      <c r="K23" t="n">
        <v>176.25</v>
      </c>
      <c r="L23" t="n">
        <v>0</v>
      </c>
      <c r="M23" t="n">
        <v>176.25</v>
      </c>
      <c r="N23" t="n">
        <v>4414.75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98</v>
      </c>
      <c r="C24" t="n">
        <v>98</v>
      </c>
      <c r="D24" t="n">
        <v>0</v>
      </c>
      <c r="E24" t="n">
        <v>705</v>
      </c>
      <c r="F24" t="n">
        <v>0</v>
      </c>
      <c r="G24" t="n">
        <v>98</v>
      </c>
      <c r="H24" t="n">
        <v>98</v>
      </c>
      <c r="I24" t="n">
        <v>607</v>
      </c>
      <c r="J24" t="n">
        <v>0</v>
      </c>
      <c r="K24" t="n">
        <v>151.75</v>
      </c>
      <c r="L24" t="n">
        <v>0</v>
      </c>
      <c r="M24" t="n">
        <v>151.75</v>
      </c>
      <c r="N24" t="n">
        <v>4566.5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132</v>
      </c>
      <c r="C25" t="n">
        <v>132</v>
      </c>
      <c r="D25" t="n">
        <v>0</v>
      </c>
      <c r="E25" t="n">
        <v>607</v>
      </c>
      <c r="F25" t="n">
        <v>0</v>
      </c>
      <c r="G25" t="n">
        <v>132</v>
      </c>
      <c r="H25" t="n">
        <v>132</v>
      </c>
      <c r="I25" t="n">
        <v>475</v>
      </c>
      <c r="J25" t="n">
        <v>0</v>
      </c>
      <c r="K25" t="n">
        <v>118.75</v>
      </c>
      <c r="L25" t="n">
        <v>0</v>
      </c>
      <c r="M25" t="n">
        <v>118.75</v>
      </c>
      <c r="N25" t="n">
        <v>4685.25</v>
      </c>
      <c r="P25" t="n">
        <v>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108</v>
      </c>
      <c r="C26" t="n">
        <v>108</v>
      </c>
      <c r="D26" t="n">
        <v>0</v>
      </c>
      <c r="E26" t="n">
        <v>475</v>
      </c>
      <c r="F26" t="n">
        <v>0</v>
      </c>
      <c r="G26" t="n">
        <v>108</v>
      </c>
      <c r="H26" t="n">
        <v>108</v>
      </c>
      <c r="I26" t="n">
        <v>367</v>
      </c>
      <c r="J26" t="n">
        <v>0</v>
      </c>
      <c r="K26" t="n">
        <v>91.75</v>
      </c>
      <c r="L26" t="n">
        <v>0</v>
      </c>
      <c r="M26" t="n">
        <v>91.75</v>
      </c>
      <c r="N26" t="n">
        <v>4777</v>
      </c>
      <c r="P26" t="n">
        <v>233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122</v>
      </c>
      <c r="C27" t="n">
        <v>122</v>
      </c>
      <c r="D27" t="n">
        <v>0</v>
      </c>
      <c r="E27" t="n">
        <v>367</v>
      </c>
      <c r="F27" t="n">
        <v>0</v>
      </c>
      <c r="G27" t="n">
        <v>122</v>
      </c>
      <c r="H27" t="n">
        <v>122</v>
      </c>
      <c r="I27" t="n">
        <v>245</v>
      </c>
      <c r="J27" t="n">
        <v>0</v>
      </c>
      <c r="K27" t="n">
        <v>61.25</v>
      </c>
      <c r="L27" t="n">
        <v>0</v>
      </c>
      <c r="M27" t="n">
        <v>61.25</v>
      </c>
      <c r="N27" t="n">
        <v>4838.25</v>
      </c>
      <c r="P27" t="n">
        <v>355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93</v>
      </c>
      <c r="C28" t="n">
        <v>93</v>
      </c>
      <c r="D28" t="n">
        <v>0</v>
      </c>
      <c r="E28" t="n">
        <v>245</v>
      </c>
      <c r="F28" t="n">
        <v>0</v>
      </c>
      <c r="G28" t="n">
        <v>93</v>
      </c>
      <c r="H28" t="n">
        <v>93</v>
      </c>
      <c r="I28" t="n">
        <v>152</v>
      </c>
      <c r="J28" t="n">
        <v>0</v>
      </c>
      <c r="K28" t="n">
        <v>38</v>
      </c>
      <c r="L28" t="n">
        <v>0</v>
      </c>
      <c r="M28" t="n">
        <v>38</v>
      </c>
      <c r="N28" t="n">
        <v>4876.25</v>
      </c>
      <c r="P28" t="n">
        <v>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137</v>
      </c>
      <c r="C29" t="n">
        <v>137</v>
      </c>
      <c r="D29" t="n">
        <v>125</v>
      </c>
      <c r="E29" t="n">
        <v>152</v>
      </c>
      <c r="F29" t="n">
        <v>0</v>
      </c>
      <c r="G29" t="n">
        <v>137</v>
      </c>
      <c r="H29" t="n">
        <v>137</v>
      </c>
      <c r="I29" t="n">
        <v>140</v>
      </c>
      <c r="J29" t="n">
        <v>0</v>
      </c>
      <c r="K29" t="n">
        <v>35</v>
      </c>
      <c r="L29" t="n">
        <v>0</v>
      </c>
      <c r="M29" t="n">
        <v>35</v>
      </c>
      <c r="N29" t="n">
        <v>4911.25</v>
      </c>
      <c r="P29" t="n">
        <v>227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111</v>
      </c>
      <c r="C30" t="n">
        <v>111</v>
      </c>
      <c r="D30" t="n">
        <v>233</v>
      </c>
      <c r="E30" t="n">
        <v>140</v>
      </c>
      <c r="F30" t="n">
        <v>0</v>
      </c>
      <c r="G30" t="n">
        <v>111</v>
      </c>
      <c r="H30" t="n">
        <v>111</v>
      </c>
      <c r="I30" t="n">
        <v>262</v>
      </c>
      <c r="J30" t="n">
        <v>0</v>
      </c>
      <c r="K30" t="n">
        <v>65.5</v>
      </c>
      <c r="L30" t="n">
        <v>0</v>
      </c>
      <c r="M30" t="n">
        <v>65.5</v>
      </c>
      <c r="N30" t="n">
        <v>4976.75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119</v>
      </c>
      <c r="C31" t="n">
        <v>119</v>
      </c>
      <c r="D31" t="n">
        <v>355</v>
      </c>
      <c r="E31" t="n">
        <v>262</v>
      </c>
      <c r="F31" t="n">
        <v>0</v>
      </c>
      <c r="G31" t="n">
        <v>119</v>
      </c>
      <c r="H31" t="n">
        <v>119</v>
      </c>
      <c r="I31" t="n">
        <v>498</v>
      </c>
      <c r="J31" t="n">
        <v>0</v>
      </c>
      <c r="K31" t="n">
        <v>124.5</v>
      </c>
      <c r="L31" t="n">
        <v>0</v>
      </c>
      <c r="M31" t="n">
        <v>124.5</v>
      </c>
      <c r="N31" t="n">
        <v>5101.25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102</v>
      </c>
      <c r="C32" t="n">
        <v>102</v>
      </c>
      <c r="D32" t="n">
        <v>323</v>
      </c>
      <c r="E32" t="n">
        <v>498</v>
      </c>
      <c r="F32" t="n">
        <v>0</v>
      </c>
      <c r="G32" t="n">
        <v>102</v>
      </c>
      <c r="H32" t="n">
        <v>102</v>
      </c>
      <c r="I32" t="n">
        <v>719</v>
      </c>
      <c r="J32" t="n">
        <v>0</v>
      </c>
      <c r="K32" t="n">
        <v>179.75</v>
      </c>
      <c r="L32" t="n">
        <v>0</v>
      </c>
      <c r="M32" t="n">
        <v>179.75</v>
      </c>
      <c r="N32" t="n">
        <v>5281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128</v>
      </c>
      <c r="C33" t="n">
        <v>128</v>
      </c>
      <c r="D33" t="n">
        <v>227</v>
      </c>
      <c r="E33" t="n">
        <v>719</v>
      </c>
      <c r="F33" t="n">
        <v>0</v>
      </c>
      <c r="G33" t="n">
        <v>128</v>
      </c>
      <c r="H33" t="n">
        <v>128</v>
      </c>
      <c r="I33" t="n">
        <v>818</v>
      </c>
      <c r="J33" t="n">
        <v>0</v>
      </c>
      <c r="K33" t="n">
        <v>204.5</v>
      </c>
      <c r="L33" t="n">
        <v>0</v>
      </c>
      <c r="M33" t="n">
        <v>204.5</v>
      </c>
      <c r="N33" t="n">
        <v>5485.5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107</v>
      </c>
      <c r="C34" t="n">
        <v>107</v>
      </c>
      <c r="D34" t="n">
        <v>0</v>
      </c>
      <c r="E34" t="n">
        <v>818</v>
      </c>
      <c r="F34" t="n">
        <v>0</v>
      </c>
      <c r="G34" t="n">
        <v>107</v>
      </c>
      <c r="H34" t="n">
        <v>107</v>
      </c>
      <c r="I34" t="n">
        <v>711</v>
      </c>
      <c r="J34" t="n">
        <v>0</v>
      </c>
      <c r="K34" t="n">
        <v>177.75</v>
      </c>
      <c r="L34" t="n">
        <v>0</v>
      </c>
      <c r="M34" t="n">
        <v>177.75</v>
      </c>
      <c r="N34" t="n">
        <v>5663.25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123</v>
      </c>
      <c r="C35" t="n">
        <v>123</v>
      </c>
      <c r="D35" t="n">
        <v>0</v>
      </c>
      <c r="E35" t="n">
        <v>711</v>
      </c>
      <c r="F35" t="n">
        <v>0</v>
      </c>
      <c r="G35" t="n">
        <v>123</v>
      </c>
      <c r="H35" t="n">
        <v>123</v>
      </c>
      <c r="I35" t="n">
        <v>588</v>
      </c>
      <c r="J35" t="n">
        <v>0</v>
      </c>
      <c r="K35" t="n">
        <v>147</v>
      </c>
      <c r="L35" t="n">
        <v>0</v>
      </c>
      <c r="M35" t="n">
        <v>147</v>
      </c>
      <c r="N35" t="n">
        <v>5810.25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67</v>
      </c>
      <c r="C36" t="n">
        <v>67</v>
      </c>
      <c r="D36" t="n">
        <v>0</v>
      </c>
      <c r="E36" t="n">
        <v>588</v>
      </c>
      <c r="F36" t="n">
        <v>0</v>
      </c>
      <c r="G36" t="n">
        <v>67</v>
      </c>
      <c r="H36" t="n">
        <v>67</v>
      </c>
      <c r="I36" t="n">
        <v>521</v>
      </c>
      <c r="J36" t="n">
        <v>0</v>
      </c>
      <c r="K36" t="n">
        <v>130.25</v>
      </c>
      <c r="L36" t="n">
        <v>0</v>
      </c>
      <c r="M36" t="n">
        <v>130.25</v>
      </c>
      <c r="N36" t="n">
        <v>5940.5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200</v>
      </c>
      <c r="F4" t="n">
        <v>0</v>
      </c>
      <c r="G4" t="n">
        <v>0</v>
      </c>
      <c r="H4" t="n">
        <v>0</v>
      </c>
      <c r="I4" t="n">
        <v>200</v>
      </c>
      <c r="J4" t="n">
        <v>0</v>
      </c>
      <c r="K4" t="n">
        <v>50</v>
      </c>
      <c r="L4" t="n">
        <v>0</v>
      </c>
      <c r="M4" t="n">
        <v>50</v>
      </c>
      <c r="N4" t="n">
        <v>137.5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130</v>
      </c>
      <c r="C5" t="n">
        <v>130</v>
      </c>
      <c r="D5" t="n">
        <v>0</v>
      </c>
      <c r="E5" t="n">
        <v>200</v>
      </c>
      <c r="F5" t="n">
        <v>0</v>
      </c>
      <c r="G5" t="n">
        <v>130</v>
      </c>
      <c r="H5" t="n">
        <v>130</v>
      </c>
      <c r="I5" t="n">
        <v>70</v>
      </c>
      <c r="J5" t="n">
        <v>0</v>
      </c>
      <c r="K5" t="n">
        <v>17.5</v>
      </c>
      <c r="L5" t="n">
        <v>0</v>
      </c>
      <c r="M5" t="n">
        <v>17.5</v>
      </c>
      <c r="N5" t="n">
        <v>155</v>
      </c>
      <c r="P5" t="n">
        <v>130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239</v>
      </c>
      <c r="C6" t="n">
        <v>239</v>
      </c>
      <c r="D6" t="n">
        <v>100</v>
      </c>
      <c r="E6" t="n">
        <v>70</v>
      </c>
      <c r="F6" t="n">
        <v>0</v>
      </c>
      <c r="G6" t="n">
        <v>239</v>
      </c>
      <c r="H6" t="n">
        <v>170</v>
      </c>
      <c r="I6" t="n">
        <v>0</v>
      </c>
      <c r="J6" t="n">
        <v>69</v>
      </c>
      <c r="K6" t="n">
        <v>0</v>
      </c>
      <c r="L6" t="n">
        <v>69</v>
      </c>
      <c r="M6" t="n">
        <v>69</v>
      </c>
      <c r="N6" t="n">
        <v>224</v>
      </c>
      <c r="P6" t="n">
        <v>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366</v>
      </c>
      <c r="C7" t="n">
        <v>366</v>
      </c>
      <c r="D7" t="n">
        <v>100</v>
      </c>
      <c r="E7" t="n">
        <v>0</v>
      </c>
      <c r="F7" t="n">
        <v>69</v>
      </c>
      <c r="G7" t="n">
        <v>435</v>
      </c>
      <c r="H7" t="n">
        <v>100</v>
      </c>
      <c r="I7" t="n">
        <v>0</v>
      </c>
      <c r="J7" t="n">
        <v>335</v>
      </c>
      <c r="K7" t="n">
        <v>0</v>
      </c>
      <c r="L7" t="n">
        <v>335</v>
      </c>
      <c r="M7" t="n">
        <v>335</v>
      </c>
      <c r="N7" t="n">
        <v>559</v>
      </c>
      <c r="P7" t="n">
        <v>335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339</v>
      </c>
      <c r="C8" t="n">
        <v>339</v>
      </c>
      <c r="D8" t="n">
        <v>100</v>
      </c>
      <c r="E8" t="n">
        <v>0</v>
      </c>
      <c r="F8" t="n">
        <v>335</v>
      </c>
      <c r="G8" t="n">
        <v>674</v>
      </c>
      <c r="H8" t="n">
        <v>100</v>
      </c>
      <c r="I8" t="n">
        <v>0</v>
      </c>
      <c r="J8" t="n">
        <v>574</v>
      </c>
      <c r="K8" t="n">
        <v>0</v>
      </c>
      <c r="L8" t="n">
        <v>574</v>
      </c>
      <c r="M8" t="n">
        <v>574</v>
      </c>
      <c r="N8" t="n">
        <v>1133</v>
      </c>
      <c r="P8" t="n">
        <v>544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320</v>
      </c>
      <c r="C9" t="n">
        <v>320</v>
      </c>
      <c r="D9" t="n">
        <v>130</v>
      </c>
      <c r="E9" t="n">
        <v>0</v>
      </c>
      <c r="F9" t="n">
        <v>574</v>
      </c>
      <c r="G9" t="n">
        <v>894</v>
      </c>
      <c r="H9" t="n">
        <v>130</v>
      </c>
      <c r="I9" t="n">
        <v>0</v>
      </c>
      <c r="J9" t="n">
        <v>764</v>
      </c>
      <c r="K9" t="n">
        <v>0</v>
      </c>
      <c r="L9" t="n">
        <v>764</v>
      </c>
      <c r="M9" t="n">
        <v>764</v>
      </c>
      <c r="N9" t="n">
        <v>1897</v>
      </c>
      <c r="P9" t="n">
        <v>795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317</v>
      </c>
      <c r="C10" t="n">
        <v>317</v>
      </c>
      <c r="D10" t="n">
        <v>69</v>
      </c>
      <c r="E10" t="n">
        <v>0</v>
      </c>
      <c r="F10" t="n">
        <v>764</v>
      </c>
      <c r="G10" t="n">
        <v>1081</v>
      </c>
      <c r="H10" t="n">
        <v>69</v>
      </c>
      <c r="I10" t="n">
        <v>0</v>
      </c>
      <c r="J10" t="n">
        <v>1012</v>
      </c>
      <c r="K10" t="n">
        <v>0</v>
      </c>
      <c r="L10" t="n">
        <v>1012</v>
      </c>
      <c r="M10" t="n">
        <v>1012</v>
      </c>
      <c r="N10" t="n">
        <v>2909</v>
      </c>
      <c r="P10" t="n">
        <v>777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350</v>
      </c>
      <c r="C11" t="n">
        <v>350</v>
      </c>
      <c r="D11" t="n">
        <v>335</v>
      </c>
      <c r="E11" t="n">
        <v>0</v>
      </c>
      <c r="F11" t="n">
        <v>1012</v>
      </c>
      <c r="G11" t="n">
        <v>1362</v>
      </c>
      <c r="H11" t="n">
        <v>335</v>
      </c>
      <c r="I11" t="n">
        <v>0</v>
      </c>
      <c r="J11" t="n">
        <v>1027</v>
      </c>
      <c r="K11" t="n">
        <v>0</v>
      </c>
      <c r="L11" t="n">
        <v>1027</v>
      </c>
      <c r="M11" t="n">
        <v>1027</v>
      </c>
      <c r="N11" t="n">
        <v>3936</v>
      </c>
      <c r="P11" t="n">
        <v>583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335</v>
      </c>
      <c r="C12" t="n">
        <v>335</v>
      </c>
      <c r="D12" t="n">
        <v>544</v>
      </c>
      <c r="E12" t="n">
        <v>0</v>
      </c>
      <c r="F12" t="n">
        <v>1027</v>
      </c>
      <c r="G12" t="n">
        <v>1362</v>
      </c>
      <c r="H12" t="n">
        <v>544</v>
      </c>
      <c r="I12" t="n">
        <v>0</v>
      </c>
      <c r="J12" t="n">
        <v>818</v>
      </c>
      <c r="K12" t="n">
        <v>0</v>
      </c>
      <c r="L12" t="n">
        <v>818</v>
      </c>
      <c r="M12" t="n">
        <v>818</v>
      </c>
      <c r="N12" t="n">
        <v>4754</v>
      </c>
      <c r="P12" t="n">
        <v>596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387</v>
      </c>
      <c r="C13" t="n">
        <v>387</v>
      </c>
      <c r="D13" t="n">
        <v>322</v>
      </c>
      <c r="E13" t="n">
        <v>0</v>
      </c>
      <c r="F13" t="n">
        <v>818</v>
      </c>
      <c r="G13" t="n">
        <v>1205</v>
      </c>
      <c r="H13" t="n">
        <v>322</v>
      </c>
      <c r="I13" t="n">
        <v>0</v>
      </c>
      <c r="J13" t="n">
        <v>883</v>
      </c>
      <c r="K13" t="n">
        <v>0</v>
      </c>
      <c r="L13" t="n">
        <v>883</v>
      </c>
      <c r="M13" t="n">
        <v>883</v>
      </c>
      <c r="N13" t="n">
        <v>5637</v>
      </c>
      <c r="P13" t="n">
        <v>953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137</v>
      </c>
      <c r="C14" t="n">
        <v>137</v>
      </c>
      <c r="D14" t="n">
        <v>30</v>
      </c>
      <c r="E14" t="n">
        <v>0</v>
      </c>
      <c r="F14" t="n">
        <v>883</v>
      </c>
      <c r="G14" t="n">
        <v>1020</v>
      </c>
      <c r="H14" t="n">
        <v>30</v>
      </c>
      <c r="I14" t="n">
        <v>0</v>
      </c>
      <c r="J14" t="n">
        <v>990</v>
      </c>
      <c r="K14" t="n">
        <v>0</v>
      </c>
      <c r="L14" t="n">
        <v>990</v>
      </c>
      <c r="M14" t="n">
        <v>990</v>
      </c>
      <c r="N14" t="n">
        <v>6627</v>
      </c>
      <c r="P14" t="n">
        <v>1090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990</v>
      </c>
      <c r="G15" t="n">
        <v>990</v>
      </c>
      <c r="H15" t="n">
        <v>0</v>
      </c>
      <c r="I15" t="n">
        <v>0</v>
      </c>
      <c r="J15" t="n">
        <v>990</v>
      </c>
      <c r="K15" t="n">
        <v>0</v>
      </c>
      <c r="L15" t="n">
        <v>990</v>
      </c>
      <c r="M15" t="n">
        <v>990</v>
      </c>
      <c r="N15" t="n">
        <v>7617</v>
      </c>
      <c r="P15" t="n">
        <v>1090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990</v>
      </c>
      <c r="G16" t="n">
        <v>990</v>
      </c>
      <c r="H16" t="n">
        <v>0</v>
      </c>
      <c r="I16" t="n">
        <v>0</v>
      </c>
      <c r="J16" t="n">
        <v>990</v>
      </c>
      <c r="K16" t="n">
        <v>0</v>
      </c>
      <c r="L16" t="n">
        <v>990</v>
      </c>
      <c r="M16" t="n">
        <v>990</v>
      </c>
      <c r="N16" t="n">
        <v>8607</v>
      </c>
      <c r="P16" t="n">
        <v>547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</v>
      </c>
      <c r="C17" t="n">
        <v>0</v>
      </c>
      <c r="D17" t="n">
        <v>543</v>
      </c>
      <c r="E17" t="n">
        <v>0</v>
      </c>
      <c r="F17" t="n">
        <v>990</v>
      </c>
      <c r="G17" t="n">
        <v>990</v>
      </c>
      <c r="H17" t="n">
        <v>543</v>
      </c>
      <c r="I17" t="n">
        <v>0</v>
      </c>
      <c r="J17" t="n">
        <v>447</v>
      </c>
      <c r="K17" t="n">
        <v>0</v>
      </c>
      <c r="L17" t="n">
        <v>447</v>
      </c>
      <c r="M17" t="n">
        <v>447</v>
      </c>
      <c r="N17" t="n">
        <v>9054</v>
      </c>
      <c r="P17" t="n">
        <v>490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17</v>
      </c>
      <c r="C18" t="n">
        <v>17</v>
      </c>
      <c r="D18" t="n">
        <v>57</v>
      </c>
      <c r="E18" t="n">
        <v>0</v>
      </c>
      <c r="F18" t="n">
        <v>447</v>
      </c>
      <c r="G18" t="n">
        <v>464</v>
      </c>
      <c r="H18" t="n">
        <v>57</v>
      </c>
      <c r="I18" t="n">
        <v>0</v>
      </c>
      <c r="J18" t="n">
        <v>407</v>
      </c>
      <c r="K18" t="n">
        <v>0</v>
      </c>
      <c r="L18" t="n">
        <v>407</v>
      </c>
      <c r="M18" t="n">
        <v>407</v>
      </c>
      <c r="N18" t="n">
        <v>9461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146</v>
      </c>
      <c r="C19" t="n">
        <v>146</v>
      </c>
      <c r="D19" t="n">
        <v>543</v>
      </c>
      <c r="E19" t="n">
        <v>0</v>
      </c>
      <c r="F19" t="n">
        <v>407</v>
      </c>
      <c r="G19" t="n">
        <v>553</v>
      </c>
      <c r="H19" t="n">
        <v>543</v>
      </c>
      <c r="I19" t="n">
        <v>0</v>
      </c>
      <c r="J19" t="n">
        <v>10</v>
      </c>
      <c r="K19" t="n">
        <v>0</v>
      </c>
      <c r="L19" t="n">
        <v>10</v>
      </c>
      <c r="M19" t="n">
        <v>10</v>
      </c>
      <c r="N19" t="n">
        <v>9471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1320</v>
      </c>
      <c r="E20" t="n">
        <v>0</v>
      </c>
      <c r="F20" t="n">
        <v>10</v>
      </c>
      <c r="G20" t="n">
        <v>10</v>
      </c>
      <c r="H20" t="n">
        <v>10</v>
      </c>
      <c r="I20" t="n">
        <v>1310</v>
      </c>
      <c r="J20" t="n">
        <v>0</v>
      </c>
      <c r="K20" t="n">
        <v>327.5</v>
      </c>
      <c r="L20" t="n">
        <v>0</v>
      </c>
      <c r="M20" t="n">
        <v>327.5</v>
      </c>
      <c r="N20" t="n">
        <v>9798.5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1903</v>
      </c>
      <c r="E21" t="n">
        <v>1310</v>
      </c>
      <c r="F21" t="n">
        <v>0</v>
      </c>
      <c r="G21" t="n">
        <v>0</v>
      </c>
      <c r="H21" t="n">
        <v>0</v>
      </c>
      <c r="I21" t="n">
        <v>3213</v>
      </c>
      <c r="J21" t="n">
        <v>0</v>
      </c>
      <c r="K21" t="n">
        <v>803.25</v>
      </c>
      <c r="L21" t="n">
        <v>0</v>
      </c>
      <c r="M21" t="n">
        <v>803.25</v>
      </c>
      <c r="N21" t="n">
        <v>10601.75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1956</v>
      </c>
      <c r="E22" t="n">
        <v>3213</v>
      </c>
      <c r="F22" t="n">
        <v>0</v>
      </c>
      <c r="G22" t="n">
        <v>0</v>
      </c>
      <c r="H22" t="n">
        <v>0</v>
      </c>
      <c r="I22" t="n">
        <v>5169</v>
      </c>
      <c r="J22" t="n">
        <v>0</v>
      </c>
      <c r="K22" t="n">
        <v>1292.25</v>
      </c>
      <c r="L22" t="n">
        <v>0</v>
      </c>
      <c r="M22" t="n">
        <v>1292.25</v>
      </c>
      <c r="N22" t="n">
        <v>11894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247</v>
      </c>
      <c r="E23" t="n">
        <v>5169</v>
      </c>
      <c r="F23" t="n">
        <v>0</v>
      </c>
      <c r="G23" t="n">
        <v>0</v>
      </c>
      <c r="H23" t="n">
        <v>0</v>
      </c>
      <c r="I23" t="n">
        <v>5416</v>
      </c>
      <c r="J23" t="n">
        <v>0</v>
      </c>
      <c r="K23" t="n">
        <v>1354</v>
      </c>
      <c r="L23" t="n">
        <v>0</v>
      </c>
      <c r="M23" t="n">
        <v>1354</v>
      </c>
      <c r="N23" t="n">
        <v>13248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5416</v>
      </c>
      <c r="F24" t="n">
        <v>0</v>
      </c>
      <c r="G24" t="n">
        <v>0</v>
      </c>
      <c r="H24" t="n">
        <v>0</v>
      </c>
      <c r="I24" t="n">
        <v>5416</v>
      </c>
      <c r="J24" t="n">
        <v>0</v>
      </c>
      <c r="K24" t="n">
        <v>1354</v>
      </c>
      <c r="L24" t="n">
        <v>0</v>
      </c>
      <c r="M24" t="n">
        <v>1354</v>
      </c>
      <c r="N24" t="n">
        <v>14602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5416</v>
      </c>
      <c r="F25" t="n">
        <v>0</v>
      </c>
      <c r="G25" t="n">
        <v>0</v>
      </c>
      <c r="H25" t="n">
        <v>0</v>
      </c>
      <c r="I25" t="n">
        <v>5416</v>
      </c>
      <c r="J25" t="n">
        <v>0</v>
      </c>
      <c r="K25" t="n">
        <v>1354</v>
      </c>
      <c r="L25" t="n">
        <v>0</v>
      </c>
      <c r="M25" t="n">
        <v>1354</v>
      </c>
      <c r="N25" t="n">
        <v>15956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5416</v>
      </c>
      <c r="F26" t="n">
        <v>0</v>
      </c>
      <c r="G26" t="n">
        <v>0</v>
      </c>
      <c r="H26" t="n">
        <v>0</v>
      </c>
      <c r="I26" t="n">
        <v>5416</v>
      </c>
      <c r="J26" t="n">
        <v>0</v>
      </c>
      <c r="K26" t="n">
        <v>1354</v>
      </c>
      <c r="L26" t="n">
        <v>0</v>
      </c>
      <c r="M26" t="n">
        <v>1354</v>
      </c>
      <c r="N26" t="n">
        <v>17310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125</v>
      </c>
      <c r="C27" t="n">
        <v>125</v>
      </c>
      <c r="D27" t="n">
        <v>0</v>
      </c>
      <c r="E27" t="n">
        <v>5416</v>
      </c>
      <c r="F27" t="n">
        <v>0</v>
      </c>
      <c r="G27" t="n">
        <v>125</v>
      </c>
      <c r="H27" t="n">
        <v>125</v>
      </c>
      <c r="I27" t="n">
        <v>5291</v>
      </c>
      <c r="J27" t="n">
        <v>0</v>
      </c>
      <c r="K27" t="n">
        <v>1322.75</v>
      </c>
      <c r="L27" t="n">
        <v>0</v>
      </c>
      <c r="M27" t="n">
        <v>1322.75</v>
      </c>
      <c r="N27" t="n">
        <v>18632.75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233</v>
      </c>
      <c r="C28" t="n">
        <v>233</v>
      </c>
      <c r="D28" t="n">
        <v>0</v>
      </c>
      <c r="E28" t="n">
        <v>5291</v>
      </c>
      <c r="F28" t="n">
        <v>0</v>
      </c>
      <c r="G28" t="n">
        <v>233</v>
      </c>
      <c r="H28" t="n">
        <v>233</v>
      </c>
      <c r="I28" t="n">
        <v>5058</v>
      </c>
      <c r="J28" t="n">
        <v>0</v>
      </c>
      <c r="K28" t="n">
        <v>1264.5</v>
      </c>
      <c r="L28" t="n">
        <v>0</v>
      </c>
      <c r="M28" t="n">
        <v>1264.5</v>
      </c>
      <c r="N28" t="n">
        <v>19897.25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355</v>
      </c>
      <c r="C29" t="n">
        <v>355</v>
      </c>
      <c r="D29" t="n">
        <v>0</v>
      </c>
      <c r="E29" t="n">
        <v>5058</v>
      </c>
      <c r="F29" t="n">
        <v>0</v>
      </c>
      <c r="G29" t="n">
        <v>355</v>
      </c>
      <c r="H29" t="n">
        <v>355</v>
      </c>
      <c r="I29" t="n">
        <v>4703</v>
      </c>
      <c r="J29" t="n">
        <v>0</v>
      </c>
      <c r="K29" t="n">
        <v>1175.75</v>
      </c>
      <c r="L29" t="n">
        <v>0</v>
      </c>
      <c r="M29" t="n">
        <v>1175.75</v>
      </c>
      <c r="N29" t="n">
        <v>21073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323</v>
      </c>
      <c r="C30" t="n">
        <v>323</v>
      </c>
      <c r="D30" t="n">
        <v>0</v>
      </c>
      <c r="E30" t="n">
        <v>4703</v>
      </c>
      <c r="F30" t="n">
        <v>0</v>
      </c>
      <c r="G30" t="n">
        <v>323</v>
      </c>
      <c r="H30" t="n">
        <v>323</v>
      </c>
      <c r="I30" t="n">
        <v>4380</v>
      </c>
      <c r="J30" t="n">
        <v>0</v>
      </c>
      <c r="K30" t="n">
        <v>1095</v>
      </c>
      <c r="L30" t="n">
        <v>0</v>
      </c>
      <c r="M30" t="n">
        <v>1095</v>
      </c>
      <c r="N30" t="n">
        <v>22168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227</v>
      </c>
      <c r="C31" t="n">
        <v>227</v>
      </c>
      <c r="D31" t="n">
        <v>0</v>
      </c>
      <c r="E31" t="n">
        <v>4380</v>
      </c>
      <c r="F31" t="n">
        <v>0</v>
      </c>
      <c r="G31" t="n">
        <v>227</v>
      </c>
      <c r="H31" t="n">
        <v>227</v>
      </c>
      <c r="I31" t="n">
        <v>4153</v>
      </c>
      <c r="J31" t="n">
        <v>0</v>
      </c>
      <c r="K31" t="n">
        <v>1038.25</v>
      </c>
      <c r="L31" t="n">
        <v>0</v>
      </c>
      <c r="M31" t="n">
        <v>1038.25</v>
      </c>
      <c r="N31" t="n">
        <v>23206.25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4153</v>
      </c>
      <c r="F32" t="n">
        <v>0</v>
      </c>
      <c r="G32" t="n">
        <v>0</v>
      </c>
      <c r="H32" t="n">
        <v>0</v>
      </c>
      <c r="I32" t="n">
        <v>4153</v>
      </c>
      <c r="J32" t="n">
        <v>0</v>
      </c>
      <c r="K32" t="n">
        <v>1038.25</v>
      </c>
      <c r="L32" t="n">
        <v>0</v>
      </c>
      <c r="M32" t="n">
        <v>1038.25</v>
      </c>
      <c r="N32" t="n">
        <v>24244.5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4153</v>
      </c>
      <c r="F33" t="n">
        <v>0</v>
      </c>
      <c r="G33" t="n">
        <v>0</v>
      </c>
      <c r="H33" t="n">
        <v>0</v>
      </c>
      <c r="I33" t="n">
        <v>4153</v>
      </c>
      <c r="J33" t="n">
        <v>0</v>
      </c>
      <c r="K33" t="n">
        <v>1038.25</v>
      </c>
      <c r="L33" t="n">
        <v>0</v>
      </c>
      <c r="M33" t="n">
        <v>1038.25</v>
      </c>
      <c r="N33" t="n">
        <v>25282.75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4153</v>
      </c>
      <c r="F34" t="n">
        <v>0</v>
      </c>
      <c r="G34" t="n">
        <v>0</v>
      </c>
      <c r="H34" t="n">
        <v>0</v>
      </c>
      <c r="I34" t="n">
        <v>4153</v>
      </c>
      <c r="J34" t="n">
        <v>0</v>
      </c>
      <c r="K34" t="n">
        <v>1038.25</v>
      </c>
      <c r="L34" t="n">
        <v>0</v>
      </c>
      <c r="M34" t="n">
        <v>1038.25</v>
      </c>
      <c r="N34" t="n">
        <v>26321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4153</v>
      </c>
      <c r="F35" t="n">
        <v>0</v>
      </c>
      <c r="G35" t="n">
        <v>0</v>
      </c>
      <c r="H35" t="n">
        <v>0</v>
      </c>
      <c r="I35" t="n">
        <v>4153</v>
      </c>
      <c r="J35" t="n">
        <v>0</v>
      </c>
      <c r="K35" t="n">
        <v>1038.25</v>
      </c>
      <c r="L35" t="n">
        <v>0</v>
      </c>
      <c r="M35" t="n">
        <v>1038.25</v>
      </c>
      <c r="N35" t="n">
        <v>27359.25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4153</v>
      </c>
      <c r="F36" t="n">
        <v>0</v>
      </c>
      <c r="G36" t="n">
        <v>0</v>
      </c>
      <c r="H36" t="n">
        <v>0</v>
      </c>
      <c r="I36" t="n">
        <v>4153</v>
      </c>
      <c r="J36" t="n">
        <v>0</v>
      </c>
      <c r="K36" t="n">
        <v>1038.25</v>
      </c>
      <c r="L36" t="n">
        <v>0</v>
      </c>
      <c r="M36" t="n">
        <v>1038.25</v>
      </c>
      <c r="N36" t="n">
        <v>28397.5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200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100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100</v>
      </c>
      <c r="C4" t="n">
        <v>100</v>
      </c>
      <c r="D4" t="n">
        <v>0</v>
      </c>
      <c r="E4" t="n">
        <v>200</v>
      </c>
      <c r="F4" t="n">
        <v>0</v>
      </c>
      <c r="G4" t="n">
        <v>100</v>
      </c>
      <c r="H4" t="n">
        <v>100</v>
      </c>
      <c r="I4" t="n">
        <v>100</v>
      </c>
      <c r="J4" t="n">
        <v>0</v>
      </c>
      <c r="K4" t="n">
        <v>25</v>
      </c>
      <c r="L4" t="n">
        <v>0</v>
      </c>
      <c r="M4" t="n">
        <v>25</v>
      </c>
      <c r="N4" t="n">
        <v>112.5</v>
      </c>
      <c r="P4" t="n">
        <v>300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100</v>
      </c>
      <c r="F5" t="n">
        <v>0</v>
      </c>
      <c r="G5" t="n">
        <v>100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112.5</v>
      </c>
      <c r="P5" t="n">
        <v>300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100</v>
      </c>
      <c r="C6" t="n">
        <v>100</v>
      </c>
      <c r="D6" t="n">
        <v>200</v>
      </c>
      <c r="E6" t="n">
        <v>0</v>
      </c>
      <c r="F6" t="n">
        <v>0</v>
      </c>
      <c r="G6" t="n">
        <v>100</v>
      </c>
      <c r="H6" t="n">
        <v>100</v>
      </c>
      <c r="I6" t="n">
        <v>100</v>
      </c>
      <c r="J6" t="n">
        <v>0</v>
      </c>
      <c r="K6" t="n">
        <v>25</v>
      </c>
      <c r="L6" t="n">
        <v>0</v>
      </c>
      <c r="M6" t="n">
        <v>25</v>
      </c>
      <c r="N6" t="n">
        <v>137.5</v>
      </c>
      <c r="P6" t="n">
        <v>400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130</v>
      </c>
      <c r="C7" t="n">
        <v>130</v>
      </c>
      <c r="D7" t="n">
        <v>100</v>
      </c>
      <c r="E7" t="n">
        <v>100</v>
      </c>
      <c r="F7" t="n">
        <v>0</v>
      </c>
      <c r="G7" t="n">
        <v>130</v>
      </c>
      <c r="H7" t="n">
        <v>130</v>
      </c>
      <c r="I7" t="n">
        <v>70</v>
      </c>
      <c r="J7" t="n">
        <v>0</v>
      </c>
      <c r="K7" t="n">
        <v>17.5</v>
      </c>
      <c r="L7" t="n">
        <v>0</v>
      </c>
      <c r="M7" t="n">
        <v>17.5</v>
      </c>
      <c r="N7" t="n">
        <v>155</v>
      </c>
      <c r="P7" t="n">
        <v>230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69</v>
      </c>
      <c r="C8" t="n">
        <v>69</v>
      </c>
      <c r="D8" t="n">
        <v>300</v>
      </c>
      <c r="E8" t="n">
        <v>70</v>
      </c>
      <c r="F8" t="n">
        <v>0</v>
      </c>
      <c r="G8" t="n">
        <v>69</v>
      </c>
      <c r="H8" t="n">
        <v>69</v>
      </c>
      <c r="I8" t="n">
        <v>301</v>
      </c>
      <c r="J8" t="n">
        <v>0</v>
      </c>
      <c r="K8" t="n">
        <v>75.25</v>
      </c>
      <c r="L8" t="n">
        <v>0</v>
      </c>
      <c r="M8" t="n">
        <v>75.25</v>
      </c>
      <c r="N8" t="n">
        <v>230.25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335</v>
      </c>
      <c r="C9" t="n">
        <v>335</v>
      </c>
      <c r="D9" t="n">
        <v>300</v>
      </c>
      <c r="E9" t="n">
        <v>301</v>
      </c>
      <c r="F9" t="n">
        <v>0</v>
      </c>
      <c r="G9" t="n">
        <v>335</v>
      </c>
      <c r="H9" t="n">
        <v>335</v>
      </c>
      <c r="I9" t="n">
        <v>266</v>
      </c>
      <c r="J9" t="n">
        <v>0</v>
      </c>
      <c r="K9" t="n">
        <v>66.5</v>
      </c>
      <c r="L9" t="n">
        <v>0</v>
      </c>
      <c r="M9" t="n">
        <v>66.5</v>
      </c>
      <c r="N9" t="n">
        <v>296.75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544</v>
      </c>
      <c r="C10" t="n">
        <v>544</v>
      </c>
      <c r="D10" t="n">
        <v>300</v>
      </c>
      <c r="E10" t="n">
        <v>266</v>
      </c>
      <c r="F10" t="n">
        <v>0</v>
      </c>
      <c r="G10" t="n">
        <v>544</v>
      </c>
      <c r="H10" t="n">
        <v>544</v>
      </c>
      <c r="I10" t="n">
        <v>22</v>
      </c>
      <c r="J10" t="n">
        <v>0</v>
      </c>
      <c r="K10" t="n">
        <v>5.5</v>
      </c>
      <c r="L10" t="n">
        <v>0</v>
      </c>
      <c r="M10" t="n">
        <v>5.5</v>
      </c>
      <c r="N10" t="n">
        <v>302.25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795</v>
      </c>
      <c r="C11" t="n">
        <v>795</v>
      </c>
      <c r="D11" t="n">
        <v>300</v>
      </c>
      <c r="E11" t="n">
        <v>22</v>
      </c>
      <c r="F11" t="n">
        <v>0</v>
      </c>
      <c r="G11" t="n">
        <v>795</v>
      </c>
      <c r="H11" t="n">
        <v>322</v>
      </c>
      <c r="I11" t="n">
        <v>0</v>
      </c>
      <c r="J11" t="n">
        <v>473</v>
      </c>
      <c r="K11" t="n">
        <v>0</v>
      </c>
      <c r="L11" t="n">
        <v>473</v>
      </c>
      <c r="M11" t="n">
        <v>473</v>
      </c>
      <c r="N11" t="n">
        <v>775.25</v>
      </c>
      <c r="P11" t="n">
        <v>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777</v>
      </c>
      <c r="C12" t="n">
        <v>777</v>
      </c>
      <c r="D12" t="n">
        <v>30</v>
      </c>
      <c r="E12" t="n">
        <v>0</v>
      </c>
      <c r="F12" t="n">
        <v>473</v>
      </c>
      <c r="G12" t="n">
        <v>1250</v>
      </c>
      <c r="H12" t="n">
        <v>30</v>
      </c>
      <c r="I12" t="n">
        <v>0</v>
      </c>
      <c r="J12" t="n">
        <v>1220</v>
      </c>
      <c r="K12" t="n">
        <v>0</v>
      </c>
      <c r="L12" t="n">
        <v>1220</v>
      </c>
      <c r="M12" t="n">
        <v>1220</v>
      </c>
      <c r="N12" t="n">
        <v>1995.25</v>
      </c>
      <c r="P12" t="n">
        <v>1320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583</v>
      </c>
      <c r="C13" t="n">
        <v>583</v>
      </c>
      <c r="D13" t="n">
        <v>0</v>
      </c>
      <c r="E13" t="n">
        <v>0</v>
      </c>
      <c r="F13" t="n">
        <v>1220</v>
      </c>
      <c r="G13" t="n">
        <v>1803</v>
      </c>
      <c r="H13" t="n">
        <v>0</v>
      </c>
      <c r="I13" t="n">
        <v>0</v>
      </c>
      <c r="J13" t="n">
        <v>1803</v>
      </c>
      <c r="K13" t="n">
        <v>0</v>
      </c>
      <c r="L13" t="n">
        <v>1803</v>
      </c>
      <c r="M13" t="n">
        <v>1803</v>
      </c>
      <c r="N13" t="n">
        <v>3798.25</v>
      </c>
      <c r="P13" t="n">
        <v>1903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596</v>
      </c>
      <c r="C14" t="n">
        <v>596</v>
      </c>
      <c r="D14" t="n">
        <v>0</v>
      </c>
      <c r="E14" t="n">
        <v>0</v>
      </c>
      <c r="F14" t="n">
        <v>1803</v>
      </c>
      <c r="G14" t="n">
        <v>2399</v>
      </c>
      <c r="H14" t="n">
        <v>0</v>
      </c>
      <c r="I14" t="n">
        <v>0</v>
      </c>
      <c r="J14" t="n">
        <v>2399</v>
      </c>
      <c r="K14" t="n">
        <v>0</v>
      </c>
      <c r="L14" t="n">
        <v>2399</v>
      </c>
      <c r="M14" t="n">
        <v>2399</v>
      </c>
      <c r="N14" t="n">
        <v>6197.25</v>
      </c>
      <c r="P14" t="n">
        <v>1956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953</v>
      </c>
      <c r="C15" t="n">
        <v>953</v>
      </c>
      <c r="D15" t="n">
        <v>543</v>
      </c>
      <c r="E15" t="n">
        <v>0</v>
      </c>
      <c r="F15" t="n">
        <v>2399</v>
      </c>
      <c r="G15" t="n">
        <v>3352</v>
      </c>
      <c r="H15" t="n">
        <v>543</v>
      </c>
      <c r="I15" t="n">
        <v>0</v>
      </c>
      <c r="J15" t="n">
        <v>2809</v>
      </c>
      <c r="K15" t="n">
        <v>0</v>
      </c>
      <c r="L15" t="n">
        <v>2809</v>
      </c>
      <c r="M15" t="n">
        <v>2809</v>
      </c>
      <c r="N15" t="n">
        <v>9006.25</v>
      </c>
      <c r="P15" t="n">
        <v>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1090</v>
      </c>
      <c r="C16" t="n">
        <v>1090</v>
      </c>
      <c r="D16" t="n">
        <v>57</v>
      </c>
      <c r="E16" t="n">
        <v>0</v>
      </c>
      <c r="F16" t="n">
        <v>2809</v>
      </c>
      <c r="G16" t="n">
        <v>3899</v>
      </c>
      <c r="H16" t="n">
        <v>57</v>
      </c>
      <c r="I16" t="n">
        <v>0</v>
      </c>
      <c r="J16" t="n">
        <v>3842</v>
      </c>
      <c r="K16" t="n">
        <v>0</v>
      </c>
      <c r="L16" t="n">
        <v>3842</v>
      </c>
      <c r="M16" t="n">
        <v>3842</v>
      </c>
      <c r="N16" t="n">
        <v>12848.25</v>
      </c>
      <c r="P16" t="n">
        <v>3399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1090</v>
      </c>
      <c r="C17" t="n">
        <v>1090</v>
      </c>
      <c r="D17" t="n">
        <v>543</v>
      </c>
      <c r="E17" t="n">
        <v>0</v>
      </c>
      <c r="F17" t="n">
        <v>3842</v>
      </c>
      <c r="G17" t="n">
        <v>4932</v>
      </c>
      <c r="H17" t="n">
        <v>543</v>
      </c>
      <c r="I17" t="n">
        <v>0</v>
      </c>
      <c r="J17" t="n">
        <v>4389</v>
      </c>
      <c r="K17" t="n">
        <v>0</v>
      </c>
      <c r="L17" t="n">
        <v>4389</v>
      </c>
      <c r="M17" t="n">
        <v>4389</v>
      </c>
      <c r="N17" t="n">
        <v>17237.25</v>
      </c>
      <c r="P17" t="n">
        <v>3169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547</v>
      </c>
      <c r="C18" t="n">
        <v>547</v>
      </c>
      <c r="D18" t="n">
        <v>1320</v>
      </c>
      <c r="E18" t="n">
        <v>0</v>
      </c>
      <c r="F18" t="n">
        <v>4389</v>
      </c>
      <c r="G18" t="n">
        <v>4936</v>
      </c>
      <c r="H18" t="n">
        <v>1320</v>
      </c>
      <c r="I18" t="n">
        <v>0</v>
      </c>
      <c r="J18" t="n">
        <v>3616</v>
      </c>
      <c r="K18" t="n">
        <v>0</v>
      </c>
      <c r="L18" t="n">
        <v>3616</v>
      </c>
      <c r="M18" t="n">
        <v>3616</v>
      </c>
      <c r="N18" t="n">
        <v>20853.25</v>
      </c>
      <c r="P18" t="n">
        <v>1813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490</v>
      </c>
      <c r="C19" t="n">
        <v>490</v>
      </c>
      <c r="D19" t="n">
        <v>1903</v>
      </c>
      <c r="E19" t="n">
        <v>0</v>
      </c>
      <c r="F19" t="n">
        <v>3616</v>
      </c>
      <c r="G19" t="n">
        <v>4106</v>
      </c>
      <c r="H19" t="n">
        <v>1903</v>
      </c>
      <c r="I19" t="n">
        <v>0</v>
      </c>
      <c r="J19" t="n">
        <v>2203</v>
      </c>
      <c r="K19" t="n">
        <v>0</v>
      </c>
      <c r="L19" t="n">
        <v>2203</v>
      </c>
      <c r="M19" t="n">
        <v>2203</v>
      </c>
      <c r="N19" t="n">
        <v>23056.25</v>
      </c>
      <c r="P19" t="n">
        <v>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</v>
      </c>
      <c r="C20" t="n">
        <v>0</v>
      </c>
      <c r="D20" t="n">
        <v>1956</v>
      </c>
      <c r="E20" t="n">
        <v>0</v>
      </c>
      <c r="F20" t="n">
        <v>2203</v>
      </c>
      <c r="G20" t="n">
        <v>2203</v>
      </c>
      <c r="H20" t="n">
        <v>1956</v>
      </c>
      <c r="I20" t="n">
        <v>0</v>
      </c>
      <c r="J20" t="n">
        <v>247</v>
      </c>
      <c r="K20" t="n">
        <v>0</v>
      </c>
      <c r="L20" t="n">
        <v>247</v>
      </c>
      <c r="M20" t="n">
        <v>247</v>
      </c>
      <c r="N20" t="n">
        <v>23303.25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0</v>
      </c>
      <c r="C21" t="n">
        <v>0</v>
      </c>
      <c r="D21" t="n">
        <v>2852</v>
      </c>
      <c r="E21" t="n">
        <v>0</v>
      </c>
      <c r="F21" t="n">
        <v>247</v>
      </c>
      <c r="G21" t="n">
        <v>247</v>
      </c>
      <c r="H21" t="n">
        <v>247</v>
      </c>
      <c r="I21" t="n">
        <v>2605</v>
      </c>
      <c r="J21" t="n">
        <v>0</v>
      </c>
      <c r="K21" t="n">
        <v>651.25</v>
      </c>
      <c r="L21" t="n">
        <v>0</v>
      </c>
      <c r="M21" t="n">
        <v>651.25</v>
      </c>
      <c r="N21" t="n">
        <v>23954.5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3399</v>
      </c>
      <c r="E22" t="n">
        <v>2605</v>
      </c>
      <c r="F22" t="n">
        <v>0</v>
      </c>
      <c r="G22" t="n">
        <v>0</v>
      </c>
      <c r="H22" t="n">
        <v>0</v>
      </c>
      <c r="I22" t="n">
        <v>6004</v>
      </c>
      <c r="J22" t="n">
        <v>0</v>
      </c>
      <c r="K22" t="n">
        <v>1501</v>
      </c>
      <c r="L22" t="n">
        <v>0</v>
      </c>
      <c r="M22" t="n">
        <v>1501</v>
      </c>
      <c r="N22" t="n">
        <v>25455.5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2969</v>
      </c>
      <c r="E23" t="n">
        <v>6004</v>
      </c>
      <c r="F23" t="n">
        <v>0</v>
      </c>
      <c r="G23" t="n">
        <v>0</v>
      </c>
      <c r="H23" t="n">
        <v>0</v>
      </c>
      <c r="I23" t="n">
        <v>8973</v>
      </c>
      <c r="J23" t="n">
        <v>0</v>
      </c>
      <c r="K23" t="n">
        <v>2243.25</v>
      </c>
      <c r="L23" t="n">
        <v>0</v>
      </c>
      <c r="M23" t="n">
        <v>2243.25</v>
      </c>
      <c r="N23" t="n">
        <v>27698.75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1513</v>
      </c>
      <c r="E24" t="n">
        <v>8973</v>
      </c>
      <c r="F24" t="n">
        <v>0</v>
      </c>
      <c r="G24" t="n">
        <v>0</v>
      </c>
      <c r="H24" t="n">
        <v>0</v>
      </c>
      <c r="I24" t="n">
        <v>10486</v>
      </c>
      <c r="J24" t="n">
        <v>0</v>
      </c>
      <c r="K24" t="n">
        <v>2621.5</v>
      </c>
      <c r="L24" t="n">
        <v>0</v>
      </c>
      <c r="M24" t="n">
        <v>2621.5</v>
      </c>
      <c r="N24" t="n">
        <v>30320.25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247</v>
      </c>
      <c r="E25" t="n">
        <v>10486</v>
      </c>
      <c r="F25" t="n">
        <v>0</v>
      </c>
      <c r="G25" t="n">
        <v>0</v>
      </c>
      <c r="H25" t="n">
        <v>0</v>
      </c>
      <c r="I25" t="n">
        <v>10733</v>
      </c>
      <c r="J25" t="n">
        <v>0</v>
      </c>
      <c r="K25" t="n">
        <v>2683.25</v>
      </c>
      <c r="L25" t="n">
        <v>0</v>
      </c>
      <c r="M25" t="n">
        <v>2683.25</v>
      </c>
      <c r="N25" t="n">
        <v>33003.5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10733</v>
      </c>
      <c r="F26" t="n">
        <v>0</v>
      </c>
      <c r="G26" t="n">
        <v>0</v>
      </c>
      <c r="H26" t="n">
        <v>0</v>
      </c>
      <c r="I26" t="n">
        <v>10733</v>
      </c>
      <c r="J26" t="n">
        <v>0</v>
      </c>
      <c r="K26" t="n">
        <v>2683.25</v>
      </c>
      <c r="L26" t="n">
        <v>0</v>
      </c>
      <c r="M26" t="n">
        <v>2683.25</v>
      </c>
      <c r="N26" t="n">
        <v>35686.75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10733</v>
      </c>
      <c r="F27" t="n">
        <v>0</v>
      </c>
      <c r="G27" t="n">
        <v>0</v>
      </c>
      <c r="H27" t="n">
        <v>0</v>
      </c>
      <c r="I27" t="n">
        <v>10733</v>
      </c>
      <c r="J27" t="n">
        <v>0</v>
      </c>
      <c r="K27" t="n">
        <v>2683.25</v>
      </c>
      <c r="L27" t="n">
        <v>0</v>
      </c>
      <c r="M27" t="n">
        <v>2683.25</v>
      </c>
      <c r="N27" t="n">
        <v>38370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10733</v>
      </c>
      <c r="F28" t="n">
        <v>0</v>
      </c>
      <c r="G28" t="n">
        <v>0</v>
      </c>
      <c r="H28" t="n">
        <v>0</v>
      </c>
      <c r="I28" t="n">
        <v>10733</v>
      </c>
      <c r="J28" t="n">
        <v>0</v>
      </c>
      <c r="K28" t="n">
        <v>2683.25</v>
      </c>
      <c r="L28" t="n">
        <v>0</v>
      </c>
      <c r="M28" t="n">
        <v>2683.25</v>
      </c>
      <c r="N28" t="n">
        <v>41053.25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10733</v>
      </c>
      <c r="F29" t="n">
        <v>0</v>
      </c>
      <c r="G29" t="n">
        <v>0</v>
      </c>
      <c r="H29" t="n">
        <v>0</v>
      </c>
      <c r="I29" t="n">
        <v>10733</v>
      </c>
      <c r="J29" t="n">
        <v>0</v>
      </c>
      <c r="K29" t="n">
        <v>2683.25</v>
      </c>
      <c r="L29" t="n">
        <v>0</v>
      </c>
      <c r="M29" t="n">
        <v>2683.25</v>
      </c>
      <c r="N29" t="n">
        <v>43736.5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10733</v>
      </c>
      <c r="F30" t="n">
        <v>0</v>
      </c>
      <c r="G30" t="n">
        <v>0</v>
      </c>
      <c r="H30" t="n">
        <v>0</v>
      </c>
      <c r="I30" t="n">
        <v>10733</v>
      </c>
      <c r="J30" t="n">
        <v>0</v>
      </c>
      <c r="K30" t="n">
        <v>2683.25</v>
      </c>
      <c r="L30" t="n">
        <v>0</v>
      </c>
      <c r="M30" t="n">
        <v>2683.25</v>
      </c>
      <c r="N30" t="n">
        <v>46419.75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10733</v>
      </c>
      <c r="F31" t="n">
        <v>0</v>
      </c>
      <c r="G31" t="n">
        <v>0</v>
      </c>
      <c r="H31" t="n">
        <v>0</v>
      </c>
      <c r="I31" t="n">
        <v>10733</v>
      </c>
      <c r="J31" t="n">
        <v>0</v>
      </c>
      <c r="K31" t="n">
        <v>2683.25</v>
      </c>
      <c r="L31" t="n">
        <v>0</v>
      </c>
      <c r="M31" t="n">
        <v>2683.25</v>
      </c>
      <c r="N31" t="n">
        <v>49103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10733</v>
      </c>
      <c r="F32" t="n">
        <v>0</v>
      </c>
      <c r="G32" t="n">
        <v>0</v>
      </c>
      <c r="H32" t="n">
        <v>0</v>
      </c>
      <c r="I32" t="n">
        <v>10733</v>
      </c>
      <c r="J32" t="n">
        <v>0</v>
      </c>
      <c r="K32" t="n">
        <v>2683.25</v>
      </c>
      <c r="L32" t="n">
        <v>0</v>
      </c>
      <c r="M32" t="n">
        <v>2683.25</v>
      </c>
      <c r="N32" t="n">
        <v>51786.25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10733</v>
      </c>
      <c r="F33" t="n">
        <v>0</v>
      </c>
      <c r="G33" t="n">
        <v>0</v>
      </c>
      <c r="H33" t="n">
        <v>0</v>
      </c>
      <c r="I33" t="n">
        <v>10733</v>
      </c>
      <c r="J33" t="n">
        <v>0</v>
      </c>
      <c r="K33" t="n">
        <v>2683.25</v>
      </c>
      <c r="L33" t="n">
        <v>0</v>
      </c>
      <c r="M33" t="n">
        <v>2683.25</v>
      </c>
      <c r="N33" t="n">
        <v>54469.5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10733</v>
      </c>
      <c r="F34" t="n">
        <v>0</v>
      </c>
      <c r="G34" t="n">
        <v>0</v>
      </c>
      <c r="H34" t="n">
        <v>0</v>
      </c>
      <c r="I34" t="n">
        <v>10733</v>
      </c>
      <c r="J34" t="n">
        <v>0</v>
      </c>
      <c r="K34" t="n">
        <v>2683.25</v>
      </c>
      <c r="L34" t="n">
        <v>0</v>
      </c>
      <c r="M34" t="n">
        <v>2683.25</v>
      </c>
      <c r="N34" t="n">
        <v>57152.75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10733</v>
      </c>
      <c r="F35" t="n">
        <v>0</v>
      </c>
      <c r="G35" t="n">
        <v>0</v>
      </c>
      <c r="H35" t="n">
        <v>0</v>
      </c>
      <c r="I35" t="n">
        <v>10733</v>
      </c>
      <c r="J35" t="n">
        <v>0</v>
      </c>
      <c r="K35" t="n">
        <v>2683.25</v>
      </c>
      <c r="L35" t="n">
        <v>0</v>
      </c>
      <c r="M35" t="n">
        <v>2683.25</v>
      </c>
      <c r="N35" t="n">
        <v>59836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10733</v>
      </c>
      <c r="F36" t="n">
        <v>0</v>
      </c>
      <c r="G36" t="n">
        <v>0</v>
      </c>
      <c r="H36" t="n">
        <v>0</v>
      </c>
      <c r="I36" t="n">
        <v>10733</v>
      </c>
      <c r="J36" t="n">
        <v>0</v>
      </c>
      <c r="K36" t="n">
        <v>2683.25</v>
      </c>
      <c r="L36" t="n">
        <v>0</v>
      </c>
      <c r="M36" t="n">
        <v>2683.25</v>
      </c>
      <c r="N36" t="n">
        <v>62519.25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 t="n">
        <v>0</v>
      </c>
      <c r="C2" t="n">
        <v>0</v>
      </c>
      <c r="D2" t="n">
        <v>50</v>
      </c>
      <c r="E2" t="n">
        <v>100</v>
      </c>
      <c r="F2" t="n">
        <v>0</v>
      </c>
      <c r="G2" t="n">
        <v>0</v>
      </c>
      <c r="H2" t="n">
        <v>0</v>
      </c>
      <c r="I2" t="n">
        <v>150</v>
      </c>
      <c r="J2" t="n">
        <v>0</v>
      </c>
      <c r="K2" t="n">
        <v>37.5</v>
      </c>
      <c r="L2" t="n">
        <v>0</v>
      </c>
      <c r="M2" t="n">
        <v>37.5</v>
      </c>
      <c r="N2" t="n">
        <v>37.5</v>
      </c>
      <c r="P2" t="n">
        <v>300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</v>
      </c>
      <c r="C3" t="n">
        <v>0</v>
      </c>
      <c r="D3" t="n">
        <v>50</v>
      </c>
      <c r="E3" t="n">
        <v>150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50</v>
      </c>
      <c r="L3" t="n">
        <v>0</v>
      </c>
      <c r="M3" t="n">
        <v>50</v>
      </c>
      <c r="N3" t="n">
        <v>87.5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200</v>
      </c>
      <c r="C4" t="n">
        <v>200</v>
      </c>
      <c r="D4" t="n">
        <v>300</v>
      </c>
      <c r="E4" t="n">
        <v>200</v>
      </c>
      <c r="F4" t="n">
        <v>0</v>
      </c>
      <c r="G4" t="n">
        <v>200</v>
      </c>
      <c r="H4" t="n">
        <v>200</v>
      </c>
      <c r="I4" t="n">
        <v>300</v>
      </c>
      <c r="J4" t="n">
        <v>0</v>
      </c>
      <c r="K4" t="n">
        <v>75</v>
      </c>
      <c r="L4" t="n">
        <v>0</v>
      </c>
      <c r="M4" t="n">
        <v>75</v>
      </c>
      <c r="N4" t="n">
        <v>162.5</v>
      </c>
      <c r="P4" t="n">
        <v>200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100</v>
      </c>
      <c r="C5" t="n">
        <v>100</v>
      </c>
      <c r="D5" t="n">
        <v>0</v>
      </c>
      <c r="E5" t="n">
        <v>300</v>
      </c>
      <c r="F5" t="n">
        <v>0</v>
      </c>
      <c r="G5" t="n">
        <v>100</v>
      </c>
      <c r="H5" t="n">
        <v>100</v>
      </c>
      <c r="I5" t="n">
        <v>200</v>
      </c>
      <c r="J5" t="n">
        <v>0</v>
      </c>
      <c r="K5" t="n">
        <v>50</v>
      </c>
      <c r="L5" t="n">
        <v>0</v>
      </c>
      <c r="M5" t="n">
        <v>50</v>
      </c>
      <c r="N5" t="n">
        <v>212.5</v>
      </c>
      <c r="P5" t="n">
        <v>200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300</v>
      </c>
      <c r="C6" t="n">
        <v>300</v>
      </c>
      <c r="D6" t="n">
        <v>200</v>
      </c>
      <c r="E6" t="n">
        <v>200</v>
      </c>
      <c r="F6" t="n">
        <v>0</v>
      </c>
      <c r="G6" t="n">
        <v>300</v>
      </c>
      <c r="H6" t="n">
        <v>300</v>
      </c>
      <c r="I6" t="n">
        <v>100</v>
      </c>
      <c r="J6" t="n">
        <v>0</v>
      </c>
      <c r="K6" t="n">
        <v>25</v>
      </c>
      <c r="L6" t="n">
        <v>0</v>
      </c>
      <c r="M6" t="n">
        <v>25</v>
      </c>
      <c r="N6" t="n">
        <v>237.5</v>
      </c>
      <c r="P6" t="n">
        <v>300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300</v>
      </c>
      <c r="C7" t="n">
        <v>300</v>
      </c>
      <c r="D7" t="n">
        <v>200</v>
      </c>
      <c r="E7" t="n">
        <v>100</v>
      </c>
      <c r="F7" t="n">
        <v>0</v>
      </c>
      <c r="G7" t="n">
        <v>300</v>
      </c>
      <c r="H7" t="n">
        <v>300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237.5</v>
      </c>
      <c r="P7" t="n">
        <v>300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400</v>
      </c>
      <c r="C8" t="n">
        <v>400</v>
      </c>
      <c r="D8" t="n">
        <v>300</v>
      </c>
      <c r="E8" t="n">
        <v>0</v>
      </c>
      <c r="F8" t="n">
        <v>0</v>
      </c>
      <c r="G8" t="n">
        <v>400</v>
      </c>
      <c r="H8" t="n">
        <v>300</v>
      </c>
      <c r="I8" t="n">
        <v>0</v>
      </c>
      <c r="J8" t="n">
        <v>100</v>
      </c>
      <c r="K8" t="n">
        <v>0</v>
      </c>
      <c r="L8" t="n">
        <v>100</v>
      </c>
      <c r="M8" t="n">
        <v>100</v>
      </c>
      <c r="N8" t="n">
        <v>337.5</v>
      </c>
      <c r="P8" t="n">
        <v>300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230</v>
      </c>
      <c r="C9" t="n">
        <v>230</v>
      </c>
      <c r="D9" t="n">
        <v>300</v>
      </c>
      <c r="E9" t="n">
        <v>0</v>
      </c>
      <c r="F9" t="n">
        <v>100</v>
      </c>
      <c r="G9" t="n">
        <v>330</v>
      </c>
      <c r="H9" t="n">
        <v>300</v>
      </c>
      <c r="I9" t="n">
        <v>0</v>
      </c>
      <c r="J9" t="n">
        <v>30</v>
      </c>
      <c r="K9" t="n">
        <v>0</v>
      </c>
      <c r="L9" t="n">
        <v>30</v>
      </c>
      <c r="M9" t="n">
        <v>30</v>
      </c>
      <c r="N9" t="n">
        <v>367.5</v>
      </c>
      <c r="P9" t="n">
        <v>330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0</v>
      </c>
      <c r="C10" t="n">
        <v>0</v>
      </c>
      <c r="D10" t="n">
        <v>300</v>
      </c>
      <c r="E10" t="n">
        <v>0</v>
      </c>
      <c r="F10" t="n">
        <v>30</v>
      </c>
      <c r="G10" t="n">
        <v>30</v>
      </c>
      <c r="H10" t="n">
        <v>30</v>
      </c>
      <c r="I10" t="n">
        <v>270</v>
      </c>
      <c r="J10" t="n">
        <v>0</v>
      </c>
      <c r="K10" t="n">
        <v>67.5</v>
      </c>
      <c r="L10" t="n">
        <v>0</v>
      </c>
      <c r="M10" t="n">
        <v>67.5</v>
      </c>
      <c r="N10" t="n">
        <v>435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0</v>
      </c>
      <c r="C11" t="n">
        <v>0</v>
      </c>
      <c r="D11" t="n">
        <v>330</v>
      </c>
      <c r="E11" t="n">
        <v>270</v>
      </c>
      <c r="F11" t="n">
        <v>0</v>
      </c>
      <c r="G11" t="n">
        <v>0</v>
      </c>
      <c r="H11" t="n">
        <v>0</v>
      </c>
      <c r="I11" t="n">
        <v>600</v>
      </c>
      <c r="J11" t="n">
        <v>0</v>
      </c>
      <c r="K11" t="n">
        <v>150</v>
      </c>
      <c r="L11" t="n">
        <v>0</v>
      </c>
      <c r="M11" t="n">
        <v>150</v>
      </c>
      <c r="N11" t="n">
        <v>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600</v>
      </c>
      <c r="F12" t="n">
        <v>0</v>
      </c>
      <c r="G12" t="n">
        <v>0</v>
      </c>
      <c r="H12" t="n">
        <v>0</v>
      </c>
      <c r="I12" t="n">
        <v>600</v>
      </c>
      <c r="J12" t="n">
        <v>0</v>
      </c>
      <c r="K12" t="n">
        <v>150</v>
      </c>
      <c r="L12" t="n">
        <v>0</v>
      </c>
      <c r="M12" t="n">
        <v>150</v>
      </c>
      <c r="N12" t="n">
        <v>735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543</v>
      </c>
      <c r="C13" t="n">
        <v>543</v>
      </c>
      <c r="D13" t="n">
        <v>0</v>
      </c>
      <c r="E13" t="n">
        <v>600</v>
      </c>
      <c r="F13" t="n">
        <v>0</v>
      </c>
      <c r="G13" t="n">
        <v>543</v>
      </c>
      <c r="H13" t="n">
        <v>543</v>
      </c>
      <c r="I13" t="n">
        <v>57</v>
      </c>
      <c r="J13" t="n">
        <v>0</v>
      </c>
      <c r="K13" t="n">
        <v>14.25</v>
      </c>
      <c r="L13" t="n">
        <v>0</v>
      </c>
      <c r="M13" t="n">
        <v>14.25</v>
      </c>
      <c r="N13" t="n">
        <v>749.25</v>
      </c>
      <c r="P13" t="n">
        <v>543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1320</v>
      </c>
      <c r="C14" t="n">
        <v>1320</v>
      </c>
      <c r="D14" t="n">
        <v>0</v>
      </c>
      <c r="E14" t="n">
        <v>57</v>
      </c>
      <c r="F14" t="n">
        <v>0</v>
      </c>
      <c r="G14" t="n">
        <v>1320</v>
      </c>
      <c r="H14" t="n">
        <v>57</v>
      </c>
      <c r="I14" t="n">
        <v>0</v>
      </c>
      <c r="J14" t="n">
        <v>1263</v>
      </c>
      <c r="K14" t="n">
        <v>0</v>
      </c>
      <c r="L14" t="n">
        <v>1263</v>
      </c>
      <c r="M14" t="n">
        <v>1263</v>
      </c>
      <c r="N14" t="n">
        <v>2012.25</v>
      </c>
      <c r="P14" t="n">
        <v>1320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1903</v>
      </c>
      <c r="C15" t="n">
        <v>1903</v>
      </c>
      <c r="D15" t="n">
        <v>543</v>
      </c>
      <c r="E15" t="n">
        <v>0</v>
      </c>
      <c r="F15" t="n">
        <v>1263</v>
      </c>
      <c r="G15" t="n">
        <v>3166</v>
      </c>
      <c r="H15" t="n">
        <v>543</v>
      </c>
      <c r="I15" t="n">
        <v>0</v>
      </c>
      <c r="J15" t="n">
        <v>2623</v>
      </c>
      <c r="K15" t="n">
        <v>0</v>
      </c>
      <c r="L15" t="n">
        <v>2623</v>
      </c>
      <c r="M15" t="n">
        <v>2623</v>
      </c>
      <c r="N15" t="n">
        <v>4635.25</v>
      </c>
      <c r="P15" t="n">
        <v>1903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1956</v>
      </c>
      <c r="C16" t="n">
        <v>1956</v>
      </c>
      <c r="D16" t="n">
        <v>1320</v>
      </c>
      <c r="E16" t="n">
        <v>0</v>
      </c>
      <c r="F16" t="n">
        <v>2623</v>
      </c>
      <c r="G16" t="n">
        <v>4579</v>
      </c>
      <c r="H16" t="n">
        <v>1320</v>
      </c>
      <c r="I16" t="n">
        <v>0</v>
      </c>
      <c r="J16" t="n">
        <v>3259</v>
      </c>
      <c r="K16" t="n">
        <v>0</v>
      </c>
      <c r="L16" t="n">
        <v>3259</v>
      </c>
      <c r="M16" t="n">
        <v>3259</v>
      </c>
      <c r="N16" t="n">
        <v>7894.25</v>
      </c>
      <c r="P16" t="n">
        <v>1956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2852</v>
      </c>
      <c r="C17" t="n">
        <v>2852</v>
      </c>
      <c r="D17" t="n">
        <v>1903</v>
      </c>
      <c r="E17" t="n">
        <v>0</v>
      </c>
      <c r="F17" t="n">
        <v>3259</v>
      </c>
      <c r="G17" t="n">
        <v>6111</v>
      </c>
      <c r="H17" t="n">
        <v>1903</v>
      </c>
      <c r="I17" t="n">
        <v>0</v>
      </c>
      <c r="J17" t="n">
        <v>4208</v>
      </c>
      <c r="K17" t="n">
        <v>0</v>
      </c>
      <c r="L17" t="n">
        <v>4208</v>
      </c>
      <c r="M17" t="n">
        <v>4208</v>
      </c>
      <c r="N17" t="n">
        <v>12102.25</v>
      </c>
      <c r="P17" t="n">
        <v>2852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3399</v>
      </c>
      <c r="C18" t="n">
        <v>3399</v>
      </c>
      <c r="D18" t="n">
        <v>1956</v>
      </c>
      <c r="E18" t="n">
        <v>0</v>
      </c>
      <c r="F18" t="n">
        <v>4208</v>
      </c>
      <c r="G18" t="n">
        <v>7607</v>
      </c>
      <c r="H18" t="n">
        <v>1956</v>
      </c>
      <c r="I18" t="n">
        <v>0</v>
      </c>
      <c r="J18" t="n">
        <v>5651</v>
      </c>
      <c r="K18" t="n">
        <v>0</v>
      </c>
      <c r="L18" t="n">
        <v>5651</v>
      </c>
      <c r="M18" t="n">
        <v>5651</v>
      </c>
      <c r="N18" t="n">
        <v>17753.25</v>
      </c>
      <c r="P18" t="n">
        <v>3399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3169</v>
      </c>
      <c r="C19" t="n">
        <v>3169</v>
      </c>
      <c r="D19" t="n">
        <v>2852</v>
      </c>
      <c r="E19" t="n">
        <v>0</v>
      </c>
      <c r="F19" t="n">
        <v>5651</v>
      </c>
      <c r="G19" t="n">
        <v>8820</v>
      </c>
      <c r="H19" t="n">
        <v>2852</v>
      </c>
      <c r="I19" t="n">
        <v>0</v>
      </c>
      <c r="J19" t="n">
        <v>5968</v>
      </c>
      <c r="K19" t="n">
        <v>0</v>
      </c>
      <c r="L19" t="n">
        <v>5968</v>
      </c>
      <c r="M19" t="n">
        <v>5968</v>
      </c>
      <c r="N19" t="n">
        <v>23721.25</v>
      </c>
      <c r="P19" t="n">
        <v>2969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1813</v>
      </c>
      <c r="C20" t="n">
        <v>1813</v>
      </c>
      <c r="D20" t="n">
        <v>3399</v>
      </c>
      <c r="E20" t="n">
        <v>0</v>
      </c>
      <c r="F20" t="n">
        <v>5968</v>
      </c>
      <c r="G20" t="n">
        <v>7781</v>
      </c>
      <c r="H20" t="n">
        <v>3399</v>
      </c>
      <c r="I20" t="n">
        <v>0</v>
      </c>
      <c r="J20" t="n">
        <v>4382</v>
      </c>
      <c r="K20" t="n">
        <v>0</v>
      </c>
      <c r="L20" t="n">
        <v>4382</v>
      </c>
      <c r="M20" t="n">
        <v>4382</v>
      </c>
      <c r="N20" t="n">
        <v>28103.25</v>
      </c>
      <c r="P20" t="n">
        <v>1513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347</v>
      </c>
      <c r="C21" t="n">
        <v>347</v>
      </c>
      <c r="D21" t="n">
        <v>2969</v>
      </c>
      <c r="E21" t="n">
        <v>0</v>
      </c>
      <c r="F21" t="n">
        <v>4382</v>
      </c>
      <c r="G21" t="n">
        <v>4729</v>
      </c>
      <c r="H21" t="n">
        <v>2969</v>
      </c>
      <c r="I21" t="n">
        <v>0</v>
      </c>
      <c r="J21" t="n">
        <v>1760</v>
      </c>
      <c r="K21" t="n">
        <v>0</v>
      </c>
      <c r="L21" t="n">
        <v>1760</v>
      </c>
      <c r="M21" t="n">
        <v>1760</v>
      </c>
      <c r="N21" t="n">
        <v>29863.25</v>
      </c>
      <c r="P21" t="n">
        <v>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0</v>
      </c>
      <c r="C22" t="n">
        <v>0</v>
      </c>
      <c r="D22" t="n">
        <v>1513</v>
      </c>
      <c r="E22" t="n">
        <v>0</v>
      </c>
      <c r="F22" t="n">
        <v>1760</v>
      </c>
      <c r="G22" t="n">
        <v>1760</v>
      </c>
      <c r="H22" t="n">
        <v>1513</v>
      </c>
      <c r="I22" t="n">
        <v>0</v>
      </c>
      <c r="J22" t="n">
        <v>247</v>
      </c>
      <c r="K22" t="n">
        <v>0</v>
      </c>
      <c r="L22" t="n">
        <v>247</v>
      </c>
      <c r="M22" t="n">
        <v>247</v>
      </c>
      <c r="N22" t="n">
        <v>30110.25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0</v>
      </c>
      <c r="C23" t="n">
        <v>0</v>
      </c>
      <c r="D23" t="n">
        <v>347</v>
      </c>
      <c r="E23" t="n">
        <v>0</v>
      </c>
      <c r="F23" t="n">
        <v>247</v>
      </c>
      <c r="G23" t="n">
        <v>247</v>
      </c>
      <c r="H23" t="n">
        <v>247</v>
      </c>
      <c r="I23" t="n">
        <v>100</v>
      </c>
      <c r="J23" t="n">
        <v>0</v>
      </c>
      <c r="K23" t="n">
        <v>25</v>
      </c>
      <c r="L23" t="n">
        <v>0</v>
      </c>
      <c r="M23" t="n">
        <v>25</v>
      </c>
      <c r="N23" t="n">
        <v>30135.25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100</v>
      </c>
      <c r="F24" t="n">
        <v>0</v>
      </c>
      <c r="G24" t="n">
        <v>0</v>
      </c>
      <c r="H24" t="n">
        <v>0</v>
      </c>
      <c r="I24" t="n">
        <v>100</v>
      </c>
      <c r="J24" t="n">
        <v>0</v>
      </c>
      <c r="K24" t="n">
        <v>25</v>
      </c>
      <c r="L24" t="n">
        <v>0</v>
      </c>
      <c r="M24" t="n">
        <v>25</v>
      </c>
      <c r="N24" t="n">
        <v>30160.25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100</v>
      </c>
      <c r="F25" t="n">
        <v>0</v>
      </c>
      <c r="G25" t="n">
        <v>0</v>
      </c>
      <c r="H25" t="n">
        <v>0</v>
      </c>
      <c r="I25" t="n">
        <v>100</v>
      </c>
      <c r="J25" t="n">
        <v>0</v>
      </c>
      <c r="K25" t="n">
        <v>25</v>
      </c>
      <c r="L25" t="n">
        <v>0</v>
      </c>
      <c r="M25" t="n">
        <v>25</v>
      </c>
      <c r="N25" t="n">
        <v>30185.25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100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25</v>
      </c>
      <c r="L26" t="n">
        <v>0</v>
      </c>
      <c r="M26" t="n">
        <v>25</v>
      </c>
      <c r="N26" t="n">
        <v>30210.25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100</v>
      </c>
      <c r="F27" t="n">
        <v>0</v>
      </c>
      <c r="G27" t="n">
        <v>0</v>
      </c>
      <c r="H27" t="n">
        <v>0</v>
      </c>
      <c r="I27" t="n">
        <v>100</v>
      </c>
      <c r="J27" t="n">
        <v>0</v>
      </c>
      <c r="K27" t="n">
        <v>25</v>
      </c>
      <c r="L27" t="n">
        <v>0</v>
      </c>
      <c r="M27" t="n">
        <v>25</v>
      </c>
      <c r="N27" t="n">
        <v>30235.25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100</v>
      </c>
      <c r="F28" t="n">
        <v>0</v>
      </c>
      <c r="G28" t="n">
        <v>0</v>
      </c>
      <c r="H28" t="n">
        <v>0</v>
      </c>
      <c r="I28" t="n">
        <v>100</v>
      </c>
      <c r="J28" t="n">
        <v>0</v>
      </c>
      <c r="K28" t="n">
        <v>25</v>
      </c>
      <c r="L28" t="n">
        <v>0</v>
      </c>
      <c r="M28" t="n">
        <v>25</v>
      </c>
      <c r="N28" t="n">
        <v>30260.25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100</v>
      </c>
      <c r="F29" t="n">
        <v>0</v>
      </c>
      <c r="G29" t="n">
        <v>0</v>
      </c>
      <c r="H29" t="n">
        <v>0</v>
      </c>
      <c r="I29" t="n">
        <v>100</v>
      </c>
      <c r="J29" t="n">
        <v>0</v>
      </c>
      <c r="K29" t="n">
        <v>25</v>
      </c>
      <c r="L29" t="n">
        <v>0</v>
      </c>
      <c r="M29" t="n">
        <v>25</v>
      </c>
      <c r="N29" t="n">
        <v>30285.25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100</v>
      </c>
      <c r="F30" t="n">
        <v>0</v>
      </c>
      <c r="G30" t="n">
        <v>0</v>
      </c>
      <c r="H30" t="n">
        <v>0</v>
      </c>
      <c r="I30" t="n">
        <v>100</v>
      </c>
      <c r="J30" t="n">
        <v>0</v>
      </c>
      <c r="K30" t="n">
        <v>25</v>
      </c>
      <c r="L30" t="n">
        <v>0</v>
      </c>
      <c r="M30" t="n">
        <v>25</v>
      </c>
      <c r="N30" t="n">
        <v>30310.25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100</v>
      </c>
      <c r="F31" t="n">
        <v>0</v>
      </c>
      <c r="G31" t="n">
        <v>0</v>
      </c>
      <c r="H31" t="n">
        <v>0</v>
      </c>
      <c r="I31" t="n">
        <v>100</v>
      </c>
      <c r="J31" t="n">
        <v>0</v>
      </c>
      <c r="K31" t="n">
        <v>25</v>
      </c>
      <c r="L31" t="n">
        <v>0</v>
      </c>
      <c r="M31" t="n">
        <v>25</v>
      </c>
      <c r="N31" t="n">
        <v>30335.25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100</v>
      </c>
      <c r="F32" t="n">
        <v>0</v>
      </c>
      <c r="G32" t="n">
        <v>0</v>
      </c>
      <c r="H32" t="n">
        <v>0</v>
      </c>
      <c r="I32" t="n">
        <v>100</v>
      </c>
      <c r="J32" t="n">
        <v>0</v>
      </c>
      <c r="K32" t="n">
        <v>25</v>
      </c>
      <c r="L32" t="n">
        <v>0</v>
      </c>
      <c r="M32" t="n">
        <v>25</v>
      </c>
      <c r="N32" t="n">
        <v>30360.25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100</v>
      </c>
      <c r="F33" t="n">
        <v>0</v>
      </c>
      <c r="G33" t="n">
        <v>0</v>
      </c>
      <c r="H33" t="n">
        <v>0</v>
      </c>
      <c r="I33" t="n">
        <v>100</v>
      </c>
      <c r="J33" t="n">
        <v>0</v>
      </c>
      <c r="K33" t="n">
        <v>25</v>
      </c>
      <c r="L33" t="n">
        <v>0</v>
      </c>
      <c r="M33" t="n">
        <v>25</v>
      </c>
      <c r="N33" t="n">
        <v>30385.25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100</v>
      </c>
      <c r="F34" t="n">
        <v>0</v>
      </c>
      <c r="G34" t="n">
        <v>0</v>
      </c>
      <c r="H34" t="n">
        <v>0</v>
      </c>
      <c r="I34" t="n">
        <v>100</v>
      </c>
      <c r="J34" t="n">
        <v>0</v>
      </c>
      <c r="K34" t="n">
        <v>25</v>
      </c>
      <c r="L34" t="n">
        <v>0</v>
      </c>
      <c r="M34" t="n">
        <v>25</v>
      </c>
      <c r="N34" t="n">
        <v>30410.25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100</v>
      </c>
      <c r="F35" t="n">
        <v>0</v>
      </c>
      <c r="G35" t="n">
        <v>0</v>
      </c>
      <c r="H35" t="n">
        <v>0</v>
      </c>
      <c r="I35" t="n">
        <v>100</v>
      </c>
      <c r="J35" t="n">
        <v>0</v>
      </c>
      <c r="K35" t="n">
        <v>25</v>
      </c>
      <c r="L35" t="n">
        <v>0</v>
      </c>
      <c r="M35" t="n">
        <v>25</v>
      </c>
      <c r="N35" t="n">
        <v>30435.25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100</v>
      </c>
      <c r="F36" t="n">
        <v>0</v>
      </c>
      <c r="G36" t="n">
        <v>0</v>
      </c>
      <c r="H36" t="n">
        <v>0</v>
      </c>
      <c r="I36" t="n">
        <v>100</v>
      </c>
      <c r="J36" t="n">
        <v>0</v>
      </c>
      <c r="K36" t="n">
        <v>25</v>
      </c>
      <c r="L36" t="n">
        <v>0</v>
      </c>
      <c r="M36" t="n">
        <v>25</v>
      </c>
      <c r="N36" t="n">
        <v>30460.25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3" t="inlineStr">
        <is>
          <t>Simulation - Scenario 3 - MinCost</t>
        </is>
      </c>
    </row>
    <row r="2">
      <c r="A2" s="4" t="inlineStr">
        <is>
          <t>Edit Inputs to change demand, costs, and policy parameters.</t>
        </is>
      </c>
    </row>
    <row r="3">
      <c r="A3" s="5" t="n"/>
      <c r="B3" s="5" t="inlineStr">
        <is>
          <t>Retailer</t>
        </is>
      </c>
      <c r="L3" s="5" t="inlineStr">
        <is>
          <t>Wholesaler</t>
        </is>
      </c>
      <c r="V3" s="5" t="inlineStr">
        <is>
          <t>Distributor</t>
        </is>
      </c>
      <c r="AF3" s="5" t="inlineStr">
        <is>
          <t>Factory</t>
        </is>
      </c>
      <c r="AP3" s="5" t="inlineStr">
        <is>
          <t>Total</t>
        </is>
      </c>
    </row>
    <row r="4">
      <c r="A4" s="1" t="n"/>
      <c r="B4" s="1" t="inlineStr">
        <is>
          <t>Incoming order</t>
        </is>
      </c>
      <c r="C4" s="1" t="inlineStr">
        <is>
          <t>Incoming shipment</t>
        </is>
      </c>
      <c r="D4" s="1" t="inlineStr">
        <is>
          <t>Outgoing shipment</t>
        </is>
      </c>
      <c r="E4" s="1" t="inlineStr">
        <is>
          <t>Inventory</t>
        </is>
      </c>
      <c r="F4" s="1" t="inlineStr">
        <is>
          <t>Backlog</t>
        </is>
      </c>
      <c r="G4" s="1" t="inlineStr">
        <is>
          <t>Order placed</t>
        </is>
      </c>
      <c r="H4" s="1" t="inlineStr">
        <is>
          <t>InvCost</t>
        </is>
      </c>
      <c r="I4" s="1" t="inlineStr">
        <is>
          <t>BackCost</t>
        </is>
      </c>
      <c r="J4" s="1" t="inlineStr">
        <is>
          <t>WeekCost</t>
        </is>
      </c>
      <c r="K4" s="1" t="inlineStr">
        <is>
          <t>Cumulative</t>
        </is>
      </c>
      <c r="L4" s="1" t="inlineStr">
        <is>
          <t>Incoming order</t>
        </is>
      </c>
      <c r="M4" s="1" t="inlineStr">
        <is>
          <t>Incoming shipment</t>
        </is>
      </c>
      <c r="N4" s="1" t="inlineStr">
        <is>
          <t>Outgoing shipment</t>
        </is>
      </c>
      <c r="O4" s="1" t="inlineStr">
        <is>
          <t>Inventory</t>
        </is>
      </c>
      <c r="P4" s="1" t="inlineStr">
        <is>
          <t>Backlog</t>
        </is>
      </c>
      <c r="Q4" s="1" t="inlineStr">
        <is>
          <t>Order placed</t>
        </is>
      </c>
      <c r="R4" s="1" t="inlineStr">
        <is>
          <t>InvCost</t>
        </is>
      </c>
      <c r="S4" s="1" t="inlineStr">
        <is>
          <t>BackCost</t>
        </is>
      </c>
      <c r="T4" s="1" t="inlineStr">
        <is>
          <t>WeekCost</t>
        </is>
      </c>
      <c r="U4" s="1" t="inlineStr">
        <is>
          <t>Cumulative</t>
        </is>
      </c>
      <c r="V4" s="1" t="inlineStr">
        <is>
          <t>Incoming order</t>
        </is>
      </c>
      <c r="W4" s="1" t="inlineStr">
        <is>
          <t>Incoming shipment</t>
        </is>
      </c>
      <c r="X4" s="1" t="inlineStr">
        <is>
          <t>Outgoing shipment</t>
        </is>
      </c>
      <c r="Y4" s="1" t="inlineStr">
        <is>
          <t>Inventory</t>
        </is>
      </c>
      <c r="Z4" s="1" t="inlineStr">
        <is>
          <t>Backlog</t>
        </is>
      </c>
      <c r="AA4" s="1" t="inlineStr">
        <is>
          <t>Order placed</t>
        </is>
      </c>
      <c r="AB4" s="1" t="inlineStr">
        <is>
          <t>InvCost</t>
        </is>
      </c>
      <c r="AC4" s="1" t="inlineStr">
        <is>
          <t>BackCost</t>
        </is>
      </c>
      <c r="AD4" s="1" t="inlineStr">
        <is>
          <t>WeekCost</t>
        </is>
      </c>
      <c r="AE4" s="1" t="inlineStr">
        <is>
          <t>Cumulative</t>
        </is>
      </c>
      <c r="AF4" s="1" t="inlineStr">
        <is>
          <t>Incoming order</t>
        </is>
      </c>
      <c r="AG4" s="1" t="inlineStr">
        <is>
          <t>Incoming shipment</t>
        </is>
      </c>
      <c r="AH4" s="1" t="inlineStr">
        <is>
          <t>Outgoing shipment</t>
        </is>
      </c>
      <c r="AI4" s="1" t="inlineStr">
        <is>
          <t>Inventory</t>
        </is>
      </c>
      <c r="AJ4" s="1" t="inlineStr">
        <is>
          <t>Backlog</t>
        </is>
      </c>
      <c r="AK4" s="1" t="inlineStr">
        <is>
          <t>Order placed</t>
        </is>
      </c>
      <c r="AL4" s="1" t="inlineStr">
        <is>
          <t>InvCost</t>
        </is>
      </c>
      <c r="AM4" s="1" t="inlineStr">
        <is>
          <t>BackCost</t>
        </is>
      </c>
      <c r="AN4" s="1" t="inlineStr">
        <is>
          <t>WeekCost</t>
        </is>
      </c>
      <c r="AO4" s="1" t="inlineStr">
        <is>
          <t>Cumulative</t>
        </is>
      </c>
      <c r="AP4" s="1" t="inlineStr">
        <is>
          <t>TotInvCost</t>
        </is>
      </c>
      <c r="AQ4" s="1" t="inlineStr">
        <is>
          <t>TotBackCost</t>
        </is>
      </c>
      <c r="AR4" s="1" t="inlineStr">
        <is>
          <t>TotWeekCost</t>
        </is>
      </c>
      <c r="AS4" s="1" t="inlineStr">
        <is>
          <t>CumCost</t>
        </is>
      </c>
    </row>
    <row r="5">
      <c r="A5" s="2" t="n">
        <v>1</v>
      </c>
      <c r="B5" s="2">
        <f>CHOOSE(Inputs!$B$12,'S3_D1_Retailer'!C2,'S3_D2_Retailer'!C2,'S3_D3_Retailer'!C2)</f>
        <v/>
      </c>
      <c r="C5" s="2">
        <f>CHOOSE(Inputs!$B$12,'S3_D1_Retailer'!D2,'S3_D2_Retailer'!D2,'S3_D3_Retailer'!D2)</f>
        <v/>
      </c>
      <c r="D5" s="2">
        <f>CHOOSE(Inputs!$B$12,'S3_D1_Retailer'!H2,'S3_D2_Retailer'!H2,'S3_D3_Retailer'!H2)</f>
        <v/>
      </c>
      <c r="E5" s="2">
        <f>CHOOSE(Inputs!$B$12,'S3_D1_Retailer'!I2,'S3_D2_Retailer'!I2,'S3_D3_Retailer'!I2)</f>
        <v/>
      </c>
      <c r="F5" s="2">
        <f>CHOOSE(Inputs!$B$12,'S3_D1_Retailer'!J2,'S3_D2_Retailer'!J2,'S3_D3_Retailer'!J2)</f>
        <v/>
      </c>
      <c r="G5" s="2">
        <f>CHOOSE(Inputs!$B$12,'S3_D1_Retailer'!P2,'S3_D2_Retailer'!P2,'S3_D3_Retailer'!P2)</f>
        <v/>
      </c>
      <c r="H5" s="2">
        <f>CHOOSE(Inputs!$B$12,'S3_D1_Retailer'!K2,'S3_D2_Retailer'!K2,'S3_D3_Retailer'!K2)</f>
        <v/>
      </c>
      <c r="I5" s="2">
        <f>CHOOSE(Inputs!$B$12,'S3_D1_Retailer'!L2,'S3_D2_Retailer'!L2,'S3_D3_Retailer'!L2)</f>
        <v/>
      </c>
      <c r="J5" s="2">
        <f>CHOOSE(Inputs!$B$12,'S3_D1_Retailer'!M2,'S3_D2_Retailer'!M2,'S3_D3_Retailer'!M2)</f>
        <v/>
      </c>
      <c r="K5" s="2">
        <f>CHOOSE(Inputs!$B$12,'S3_D1_Retailer'!N2,'S3_D2_Retailer'!N2,'S3_D3_Retailer'!N2)</f>
        <v/>
      </c>
      <c r="L5" s="2">
        <f>CHOOSE(Inputs!$B$12,'S3_D1_Wholesaler'!C2,'S3_D2_Wholesaler'!C2,'S3_D3_Wholesaler'!C2)</f>
        <v/>
      </c>
      <c r="M5" s="2">
        <f>CHOOSE(Inputs!$B$12,'S3_D1_Wholesaler'!D2,'S3_D2_Wholesaler'!D2,'S3_D3_Wholesaler'!D2)</f>
        <v/>
      </c>
      <c r="N5" s="2">
        <f>CHOOSE(Inputs!$B$12,'S3_D1_Wholesaler'!H2,'S3_D2_Wholesaler'!H2,'S3_D3_Wholesaler'!H2)</f>
        <v/>
      </c>
      <c r="O5" s="2">
        <f>CHOOSE(Inputs!$B$12,'S3_D1_Wholesaler'!I2,'S3_D2_Wholesaler'!I2,'S3_D3_Wholesaler'!I2)</f>
        <v/>
      </c>
      <c r="P5" s="2">
        <f>CHOOSE(Inputs!$B$12,'S3_D1_Wholesaler'!J2,'S3_D2_Wholesaler'!J2,'S3_D3_Wholesaler'!J2)</f>
        <v/>
      </c>
      <c r="Q5" s="2">
        <f>CHOOSE(Inputs!$B$12,'S3_D1_Wholesaler'!P2,'S3_D2_Wholesaler'!P2,'S3_D3_Wholesaler'!P2)</f>
        <v/>
      </c>
      <c r="R5" s="2">
        <f>CHOOSE(Inputs!$B$12,'S3_D1_Wholesaler'!K2,'S3_D2_Wholesaler'!K2,'S3_D3_Wholesaler'!K2)</f>
        <v/>
      </c>
      <c r="S5" s="2">
        <f>CHOOSE(Inputs!$B$12,'S3_D1_Wholesaler'!L2,'S3_D2_Wholesaler'!L2,'S3_D3_Wholesaler'!L2)</f>
        <v/>
      </c>
      <c r="T5" s="2">
        <f>CHOOSE(Inputs!$B$12,'S3_D1_Wholesaler'!M2,'S3_D2_Wholesaler'!M2,'S3_D3_Wholesaler'!M2)</f>
        <v/>
      </c>
      <c r="U5" s="2">
        <f>CHOOSE(Inputs!$B$12,'S3_D1_Wholesaler'!N2,'S3_D2_Wholesaler'!N2,'S3_D3_Wholesaler'!N2)</f>
        <v/>
      </c>
      <c r="V5" s="2">
        <f>CHOOSE(Inputs!$B$12,'S3_D1_Distributor'!C2,'S3_D2_Distributor'!C2,'S3_D3_Distributor'!C2)</f>
        <v/>
      </c>
      <c r="W5" s="2">
        <f>CHOOSE(Inputs!$B$12,'S3_D1_Distributor'!D2,'S3_D2_Distributor'!D2,'S3_D3_Distributor'!D2)</f>
        <v/>
      </c>
      <c r="X5" s="2">
        <f>CHOOSE(Inputs!$B$12,'S3_D1_Distributor'!H2,'S3_D2_Distributor'!H2,'S3_D3_Distributor'!H2)</f>
        <v/>
      </c>
      <c r="Y5" s="2">
        <f>CHOOSE(Inputs!$B$12,'S3_D1_Distributor'!I2,'S3_D2_Distributor'!I2,'S3_D3_Distributor'!I2)</f>
        <v/>
      </c>
      <c r="Z5" s="2">
        <f>CHOOSE(Inputs!$B$12,'S3_D1_Distributor'!J2,'S3_D2_Distributor'!J2,'S3_D3_Distributor'!J2)</f>
        <v/>
      </c>
      <c r="AA5" s="2">
        <f>CHOOSE(Inputs!$B$12,'S3_D1_Distributor'!P2,'S3_D2_Distributor'!P2,'S3_D3_Distributor'!P2)</f>
        <v/>
      </c>
      <c r="AB5" s="2">
        <f>CHOOSE(Inputs!$B$12,'S3_D1_Distributor'!K2,'S3_D2_Distributor'!K2,'S3_D3_Distributor'!K2)</f>
        <v/>
      </c>
      <c r="AC5" s="2">
        <f>CHOOSE(Inputs!$B$12,'S3_D1_Distributor'!L2,'S3_D2_Distributor'!L2,'S3_D3_Distributor'!L2)</f>
        <v/>
      </c>
      <c r="AD5" s="2">
        <f>CHOOSE(Inputs!$B$12,'S3_D1_Distributor'!M2,'S3_D2_Distributor'!M2,'S3_D3_Distributor'!M2)</f>
        <v/>
      </c>
      <c r="AE5" s="2">
        <f>CHOOSE(Inputs!$B$12,'S3_D1_Distributor'!N2,'S3_D2_Distributor'!N2,'S3_D3_Distributor'!N2)</f>
        <v/>
      </c>
      <c r="AF5" s="2">
        <f>CHOOSE(Inputs!$B$12,'S3_D1_Factory'!C2,'S3_D2_Factory'!C2,'S3_D3_Factory'!C2)</f>
        <v/>
      </c>
      <c r="AG5" s="2">
        <f>CHOOSE(Inputs!$B$12,'S3_D1_Factory'!D2,'S3_D2_Factory'!D2,'S3_D3_Factory'!D2)</f>
        <v/>
      </c>
      <c r="AH5" s="2">
        <f>CHOOSE(Inputs!$B$12,'S3_D1_Factory'!H2,'S3_D2_Factory'!H2,'S3_D3_Factory'!H2)</f>
        <v/>
      </c>
      <c r="AI5" s="2">
        <f>CHOOSE(Inputs!$B$12,'S3_D1_Factory'!I2,'S3_D2_Factory'!I2,'S3_D3_Factory'!I2)</f>
        <v/>
      </c>
      <c r="AJ5" s="2">
        <f>CHOOSE(Inputs!$B$12,'S3_D1_Factory'!J2,'S3_D2_Factory'!J2,'S3_D3_Factory'!J2)</f>
        <v/>
      </c>
      <c r="AK5" s="2">
        <f>CHOOSE(Inputs!$B$12,'S3_D1_Factory'!P2,'S3_D2_Factory'!P2,'S3_D3_Factory'!P2)</f>
        <v/>
      </c>
      <c r="AL5" s="2">
        <f>CHOOSE(Inputs!$B$12,'S3_D1_Factory'!K2,'S3_D2_Factory'!K2,'S3_D3_Factory'!K2)</f>
        <v/>
      </c>
      <c r="AM5" s="2">
        <f>CHOOSE(Inputs!$B$12,'S3_D1_Factory'!L2,'S3_D2_Factory'!L2,'S3_D3_Factory'!L2)</f>
        <v/>
      </c>
      <c r="AN5" s="2">
        <f>CHOOSE(Inputs!$B$12,'S3_D1_Factory'!M2,'S3_D2_Factory'!M2,'S3_D3_Factory'!M2)</f>
        <v/>
      </c>
      <c r="AO5" s="2">
        <f>CHOOSE(Inputs!$B$12,'S3_D1_Factory'!N2,'S3_D2_Factory'!N2,'S3_D3_Factory'!N2)</f>
        <v/>
      </c>
      <c r="AP5" s="2">
        <f>SUM(H5,R5,AB5,AL5)</f>
        <v/>
      </c>
      <c r="AQ5" s="2">
        <f>SUM(I5,S5,AC5,AM5)</f>
        <v/>
      </c>
      <c r="AR5" s="2">
        <f>SUM(J5,T5,AD5,AN5)</f>
        <v/>
      </c>
      <c r="AS5" s="2">
        <f>AR5</f>
        <v/>
      </c>
    </row>
    <row r="6">
      <c r="A6" s="2" t="n">
        <v>2</v>
      </c>
      <c r="B6" s="2">
        <f>CHOOSE(Inputs!$B$12,'S3_D1_Retailer'!C3,'S3_D2_Retailer'!C3,'S3_D3_Retailer'!C3)</f>
        <v/>
      </c>
      <c r="C6" s="2">
        <f>CHOOSE(Inputs!$B$12,'S3_D1_Retailer'!D3,'S3_D2_Retailer'!D3,'S3_D3_Retailer'!D3)</f>
        <v/>
      </c>
      <c r="D6" s="2">
        <f>CHOOSE(Inputs!$B$12,'S3_D1_Retailer'!H3,'S3_D2_Retailer'!H3,'S3_D3_Retailer'!H3)</f>
        <v/>
      </c>
      <c r="E6" s="2">
        <f>CHOOSE(Inputs!$B$12,'S3_D1_Retailer'!I3,'S3_D2_Retailer'!I3,'S3_D3_Retailer'!I3)</f>
        <v/>
      </c>
      <c r="F6" s="2">
        <f>CHOOSE(Inputs!$B$12,'S3_D1_Retailer'!J3,'S3_D2_Retailer'!J3,'S3_D3_Retailer'!J3)</f>
        <v/>
      </c>
      <c r="G6" s="2">
        <f>CHOOSE(Inputs!$B$12,'S3_D1_Retailer'!P3,'S3_D2_Retailer'!P3,'S3_D3_Retailer'!P3)</f>
        <v/>
      </c>
      <c r="H6" s="2">
        <f>CHOOSE(Inputs!$B$12,'S3_D1_Retailer'!K3,'S3_D2_Retailer'!K3,'S3_D3_Retailer'!K3)</f>
        <v/>
      </c>
      <c r="I6" s="2">
        <f>CHOOSE(Inputs!$B$12,'S3_D1_Retailer'!L3,'S3_D2_Retailer'!L3,'S3_D3_Retailer'!L3)</f>
        <v/>
      </c>
      <c r="J6" s="2">
        <f>CHOOSE(Inputs!$B$12,'S3_D1_Retailer'!M3,'S3_D2_Retailer'!M3,'S3_D3_Retailer'!M3)</f>
        <v/>
      </c>
      <c r="K6" s="2">
        <f>CHOOSE(Inputs!$B$12,'S3_D1_Retailer'!N3,'S3_D2_Retailer'!N3,'S3_D3_Retailer'!N3)</f>
        <v/>
      </c>
      <c r="L6" s="2">
        <f>CHOOSE(Inputs!$B$12,'S3_D1_Wholesaler'!C3,'S3_D2_Wholesaler'!C3,'S3_D3_Wholesaler'!C3)</f>
        <v/>
      </c>
      <c r="M6" s="2">
        <f>CHOOSE(Inputs!$B$12,'S3_D1_Wholesaler'!D3,'S3_D2_Wholesaler'!D3,'S3_D3_Wholesaler'!D3)</f>
        <v/>
      </c>
      <c r="N6" s="2">
        <f>CHOOSE(Inputs!$B$12,'S3_D1_Wholesaler'!H3,'S3_D2_Wholesaler'!H3,'S3_D3_Wholesaler'!H3)</f>
        <v/>
      </c>
      <c r="O6" s="2">
        <f>CHOOSE(Inputs!$B$12,'S3_D1_Wholesaler'!I3,'S3_D2_Wholesaler'!I3,'S3_D3_Wholesaler'!I3)</f>
        <v/>
      </c>
      <c r="P6" s="2">
        <f>CHOOSE(Inputs!$B$12,'S3_D1_Wholesaler'!J3,'S3_D2_Wholesaler'!J3,'S3_D3_Wholesaler'!J3)</f>
        <v/>
      </c>
      <c r="Q6" s="2">
        <f>CHOOSE(Inputs!$B$12,'S3_D1_Wholesaler'!P3,'S3_D2_Wholesaler'!P3,'S3_D3_Wholesaler'!P3)</f>
        <v/>
      </c>
      <c r="R6" s="2">
        <f>CHOOSE(Inputs!$B$12,'S3_D1_Wholesaler'!K3,'S3_D2_Wholesaler'!K3,'S3_D3_Wholesaler'!K3)</f>
        <v/>
      </c>
      <c r="S6" s="2">
        <f>CHOOSE(Inputs!$B$12,'S3_D1_Wholesaler'!L3,'S3_D2_Wholesaler'!L3,'S3_D3_Wholesaler'!L3)</f>
        <v/>
      </c>
      <c r="T6" s="2">
        <f>CHOOSE(Inputs!$B$12,'S3_D1_Wholesaler'!M3,'S3_D2_Wholesaler'!M3,'S3_D3_Wholesaler'!M3)</f>
        <v/>
      </c>
      <c r="U6" s="2">
        <f>CHOOSE(Inputs!$B$12,'S3_D1_Wholesaler'!N3,'S3_D2_Wholesaler'!N3,'S3_D3_Wholesaler'!N3)</f>
        <v/>
      </c>
      <c r="V6" s="2">
        <f>CHOOSE(Inputs!$B$12,'S3_D1_Distributor'!C3,'S3_D2_Distributor'!C3,'S3_D3_Distributor'!C3)</f>
        <v/>
      </c>
      <c r="W6" s="2">
        <f>CHOOSE(Inputs!$B$12,'S3_D1_Distributor'!D3,'S3_D2_Distributor'!D3,'S3_D3_Distributor'!D3)</f>
        <v/>
      </c>
      <c r="X6" s="2">
        <f>CHOOSE(Inputs!$B$12,'S3_D1_Distributor'!H3,'S3_D2_Distributor'!H3,'S3_D3_Distributor'!H3)</f>
        <v/>
      </c>
      <c r="Y6" s="2">
        <f>CHOOSE(Inputs!$B$12,'S3_D1_Distributor'!I3,'S3_D2_Distributor'!I3,'S3_D3_Distributor'!I3)</f>
        <v/>
      </c>
      <c r="Z6" s="2">
        <f>CHOOSE(Inputs!$B$12,'S3_D1_Distributor'!J3,'S3_D2_Distributor'!J3,'S3_D3_Distributor'!J3)</f>
        <v/>
      </c>
      <c r="AA6" s="2">
        <f>CHOOSE(Inputs!$B$12,'S3_D1_Distributor'!P3,'S3_D2_Distributor'!P3,'S3_D3_Distributor'!P3)</f>
        <v/>
      </c>
      <c r="AB6" s="2">
        <f>CHOOSE(Inputs!$B$12,'S3_D1_Distributor'!K3,'S3_D2_Distributor'!K3,'S3_D3_Distributor'!K3)</f>
        <v/>
      </c>
      <c r="AC6" s="2">
        <f>CHOOSE(Inputs!$B$12,'S3_D1_Distributor'!L3,'S3_D2_Distributor'!L3,'S3_D3_Distributor'!L3)</f>
        <v/>
      </c>
      <c r="AD6" s="2">
        <f>CHOOSE(Inputs!$B$12,'S3_D1_Distributor'!M3,'S3_D2_Distributor'!M3,'S3_D3_Distributor'!M3)</f>
        <v/>
      </c>
      <c r="AE6" s="2">
        <f>CHOOSE(Inputs!$B$12,'S3_D1_Distributor'!N3,'S3_D2_Distributor'!N3,'S3_D3_Distributor'!N3)</f>
        <v/>
      </c>
      <c r="AF6" s="2">
        <f>CHOOSE(Inputs!$B$12,'S3_D1_Factory'!C3,'S3_D2_Factory'!C3,'S3_D3_Factory'!C3)</f>
        <v/>
      </c>
      <c r="AG6" s="2">
        <f>CHOOSE(Inputs!$B$12,'S3_D1_Factory'!D3,'S3_D2_Factory'!D3,'S3_D3_Factory'!D3)</f>
        <v/>
      </c>
      <c r="AH6" s="2">
        <f>CHOOSE(Inputs!$B$12,'S3_D1_Factory'!H3,'S3_D2_Factory'!H3,'S3_D3_Factory'!H3)</f>
        <v/>
      </c>
      <c r="AI6" s="2">
        <f>CHOOSE(Inputs!$B$12,'S3_D1_Factory'!I3,'S3_D2_Factory'!I3,'S3_D3_Factory'!I3)</f>
        <v/>
      </c>
      <c r="AJ6" s="2">
        <f>CHOOSE(Inputs!$B$12,'S3_D1_Factory'!J3,'S3_D2_Factory'!J3,'S3_D3_Factory'!J3)</f>
        <v/>
      </c>
      <c r="AK6" s="2">
        <f>CHOOSE(Inputs!$B$12,'S3_D1_Factory'!P3,'S3_D2_Factory'!P3,'S3_D3_Factory'!P3)</f>
        <v/>
      </c>
      <c r="AL6" s="2">
        <f>CHOOSE(Inputs!$B$12,'S3_D1_Factory'!K3,'S3_D2_Factory'!K3,'S3_D3_Factory'!K3)</f>
        <v/>
      </c>
      <c r="AM6" s="2">
        <f>CHOOSE(Inputs!$B$12,'S3_D1_Factory'!L3,'S3_D2_Factory'!L3,'S3_D3_Factory'!L3)</f>
        <v/>
      </c>
      <c r="AN6" s="2">
        <f>CHOOSE(Inputs!$B$12,'S3_D1_Factory'!M3,'S3_D2_Factory'!M3,'S3_D3_Factory'!M3)</f>
        <v/>
      </c>
      <c r="AO6" s="2">
        <f>CHOOSE(Inputs!$B$12,'S3_D1_Factory'!N3,'S3_D2_Factory'!N3,'S3_D3_Factory'!N3)</f>
        <v/>
      </c>
      <c r="AP6" s="2">
        <f>SUM(H6,R6,AB6,AL6)</f>
        <v/>
      </c>
      <c r="AQ6" s="2">
        <f>SUM(I6,S6,AC6,AM6)</f>
        <v/>
      </c>
      <c r="AR6" s="2">
        <f>SUM(J6,T6,AD6,AN6)</f>
        <v/>
      </c>
      <c r="AS6" s="2">
        <f>AS5+AR6</f>
        <v/>
      </c>
    </row>
    <row r="7">
      <c r="A7" s="2" t="n">
        <v>3</v>
      </c>
      <c r="B7" s="2">
        <f>CHOOSE(Inputs!$B$12,'S3_D1_Retailer'!C4,'S3_D2_Retailer'!C4,'S3_D3_Retailer'!C4)</f>
        <v/>
      </c>
      <c r="C7" s="2">
        <f>CHOOSE(Inputs!$B$12,'S3_D1_Retailer'!D4,'S3_D2_Retailer'!D4,'S3_D3_Retailer'!D4)</f>
        <v/>
      </c>
      <c r="D7" s="2">
        <f>CHOOSE(Inputs!$B$12,'S3_D1_Retailer'!H4,'S3_D2_Retailer'!H4,'S3_D3_Retailer'!H4)</f>
        <v/>
      </c>
      <c r="E7" s="2">
        <f>CHOOSE(Inputs!$B$12,'S3_D1_Retailer'!I4,'S3_D2_Retailer'!I4,'S3_D3_Retailer'!I4)</f>
        <v/>
      </c>
      <c r="F7" s="2">
        <f>CHOOSE(Inputs!$B$12,'S3_D1_Retailer'!J4,'S3_D2_Retailer'!J4,'S3_D3_Retailer'!J4)</f>
        <v/>
      </c>
      <c r="G7" s="2">
        <f>CHOOSE(Inputs!$B$12,'S3_D1_Retailer'!P4,'S3_D2_Retailer'!P4,'S3_D3_Retailer'!P4)</f>
        <v/>
      </c>
      <c r="H7" s="2">
        <f>CHOOSE(Inputs!$B$12,'S3_D1_Retailer'!K4,'S3_D2_Retailer'!K4,'S3_D3_Retailer'!K4)</f>
        <v/>
      </c>
      <c r="I7" s="2">
        <f>CHOOSE(Inputs!$B$12,'S3_D1_Retailer'!L4,'S3_D2_Retailer'!L4,'S3_D3_Retailer'!L4)</f>
        <v/>
      </c>
      <c r="J7" s="2">
        <f>CHOOSE(Inputs!$B$12,'S3_D1_Retailer'!M4,'S3_D2_Retailer'!M4,'S3_D3_Retailer'!M4)</f>
        <v/>
      </c>
      <c r="K7" s="2">
        <f>CHOOSE(Inputs!$B$12,'S3_D1_Retailer'!N4,'S3_D2_Retailer'!N4,'S3_D3_Retailer'!N4)</f>
        <v/>
      </c>
      <c r="L7" s="2">
        <f>CHOOSE(Inputs!$B$12,'S3_D1_Wholesaler'!C4,'S3_D2_Wholesaler'!C4,'S3_D3_Wholesaler'!C4)</f>
        <v/>
      </c>
      <c r="M7" s="2">
        <f>CHOOSE(Inputs!$B$12,'S3_D1_Wholesaler'!D4,'S3_D2_Wholesaler'!D4,'S3_D3_Wholesaler'!D4)</f>
        <v/>
      </c>
      <c r="N7" s="2">
        <f>CHOOSE(Inputs!$B$12,'S3_D1_Wholesaler'!H4,'S3_D2_Wholesaler'!H4,'S3_D3_Wholesaler'!H4)</f>
        <v/>
      </c>
      <c r="O7" s="2">
        <f>CHOOSE(Inputs!$B$12,'S3_D1_Wholesaler'!I4,'S3_D2_Wholesaler'!I4,'S3_D3_Wholesaler'!I4)</f>
        <v/>
      </c>
      <c r="P7" s="2">
        <f>CHOOSE(Inputs!$B$12,'S3_D1_Wholesaler'!J4,'S3_D2_Wholesaler'!J4,'S3_D3_Wholesaler'!J4)</f>
        <v/>
      </c>
      <c r="Q7" s="2">
        <f>CHOOSE(Inputs!$B$12,'S3_D1_Wholesaler'!P4,'S3_D2_Wholesaler'!P4,'S3_D3_Wholesaler'!P4)</f>
        <v/>
      </c>
      <c r="R7" s="2">
        <f>CHOOSE(Inputs!$B$12,'S3_D1_Wholesaler'!K4,'S3_D2_Wholesaler'!K4,'S3_D3_Wholesaler'!K4)</f>
        <v/>
      </c>
      <c r="S7" s="2">
        <f>CHOOSE(Inputs!$B$12,'S3_D1_Wholesaler'!L4,'S3_D2_Wholesaler'!L4,'S3_D3_Wholesaler'!L4)</f>
        <v/>
      </c>
      <c r="T7" s="2">
        <f>CHOOSE(Inputs!$B$12,'S3_D1_Wholesaler'!M4,'S3_D2_Wholesaler'!M4,'S3_D3_Wholesaler'!M4)</f>
        <v/>
      </c>
      <c r="U7" s="2">
        <f>CHOOSE(Inputs!$B$12,'S3_D1_Wholesaler'!N4,'S3_D2_Wholesaler'!N4,'S3_D3_Wholesaler'!N4)</f>
        <v/>
      </c>
      <c r="V7" s="2">
        <f>CHOOSE(Inputs!$B$12,'S3_D1_Distributor'!C4,'S3_D2_Distributor'!C4,'S3_D3_Distributor'!C4)</f>
        <v/>
      </c>
      <c r="W7" s="2">
        <f>CHOOSE(Inputs!$B$12,'S3_D1_Distributor'!D4,'S3_D2_Distributor'!D4,'S3_D3_Distributor'!D4)</f>
        <v/>
      </c>
      <c r="X7" s="2">
        <f>CHOOSE(Inputs!$B$12,'S3_D1_Distributor'!H4,'S3_D2_Distributor'!H4,'S3_D3_Distributor'!H4)</f>
        <v/>
      </c>
      <c r="Y7" s="2">
        <f>CHOOSE(Inputs!$B$12,'S3_D1_Distributor'!I4,'S3_D2_Distributor'!I4,'S3_D3_Distributor'!I4)</f>
        <v/>
      </c>
      <c r="Z7" s="2">
        <f>CHOOSE(Inputs!$B$12,'S3_D1_Distributor'!J4,'S3_D2_Distributor'!J4,'S3_D3_Distributor'!J4)</f>
        <v/>
      </c>
      <c r="AA7" s="2">
        <f>CHOOSE(Inputs!$B$12,'S3_D1_Distributor'!P4,'S3_D2_Distributor'!P4,'S3_D3_Distributor'!P4)</f>
        <v/>
      </c>
      <c r="AB7" s="2">
        <f>CHOOSE(Inputs!$B$12,'S3_D1_Distributor'!K4,'S3_D2_Distributor'!K4,'S3_D3_Distributor'!K4)</f>
        <v/>
      </c>
      <c r="AC7" s="2">
        <f>CHOOSE(Inputs!$B$12,'S3_D1_Distributor'!L4,'S3_D2_Distributor'!L4,'S3_D3_Distributor'!L4)</f>
        <v/>
      </c>
      <c r="AD7" s="2">
        <f>CHOOSE(Inputs!$B$12,'S3_D1_Distributor'!M4,'S3_D2_Distributor'!M4,'S3_D3_Distributor'!M4)</f>
        <v/>
      </c>
      <c r="AE7" s="2">
        <f>CHOOSE(Inputs!$B$12,'S3_D1_Distributor'!N4,'S3_D2_Distributor'!N4,'S3_D3_Distributor'!N4)</f>
        <v/>
      </c>
      <c r="AF7" s="2">
        <f>CHOOSE(Inputs!$B$12,'S3_D1_Factory'!C4,'S3_D2_Factory'!C4,'S3_D3_Factory'!C4)</f>
        <v/>
      </c>
      <c r="AG7" s="2">
        <f>CHOOSE(Inputs!$B$12,'S3_D1_Factory'!D4,'S3_D2_Factory'!D4,'S3_D3_Factory'!D4)</f>
        <v/>
      </c>
      <c r="AH7" s="2">
        <f>CHOOSE(Inputs!$B$12,'S3_D1_Factory'!H4,'S3_D2_Factory'!H4,'S3_D3_Factory'!H4)</f>
        <v/>
      </c>
      <c r="AI7" s="2">
        <f>CHOOSE(Inputs!$B$12,'S3_D1_Factory'!I4,'S3_D2_Factory'!I4,'S3_D3_Factory'!I4)</f>
        <v/>
      </c>
      <c r="AJ7" s="2">
        <f>CHOOSE(Inputs!$B$12,'S3_D1_Factory'!J4,'S3_D2_Factory'!J4,'S3_D3_Factory'!J4)</f>
        <v/>
      </c>
      <c r="AK7" s="2">
        <f>CHOOSE(Inputs!$B$12,'S3_D1_Factory'!P4,'S3_D2_Factory'!P4,'S3_D3_Factory'!P4)</f>
        <v/>
      </c>
      <c r="AL7" s="2">
        <f>CHOOSE(Inputs!$B$12,'S3_D1_Factory'!K4,'S3_D2_Factory'!K4,'S3_D3_Factory'!K4)</f>
        <v/>
      </c>
      <c r="AM7" s="2">
        <f>CHOOSE(Inputs!$B$12,'S3_D1_Factory'!L4,'S3_D2_Factory'!L4,'S3_D3_Factory'!L4)</f>
        <v/>
      </c>
      <c r="AN7" s="2">
        <f>CHOOSE(Inputs!$B$12,'S3_D1_Factory'!M4,'S3_D2_Factory'!M4,'S3_D3_Factory'!M4)</f>
        <v/>
      </c>
      <c r="AO7" s="2">
        <f>CHOOSE(Inputs!$B$12,'S3_D1_Factory'!N4,'S3_D2_Factory'!N4,'S3_D3_Factory'!N4)</f>
        <v/>
      </c>
      <c r="AP7" s="2">
        <f>SUM(H7,R7,AB7,AL7)</f>
        <v/>
      </c>
      <c r="AQ7" s="2">
        <f>SUM(I7,S7,AC7,AM7)</f>
        <v/>
      </c>
      <c r="AR7" s="2">
        <f>SUM(J7,T7,AD7,AN7)</f>
        <v/>
      </c>
      <c r="AS7" s="2">
        <f>AS6+AR7</f>
        <v/>
      </c>
    </row>
    <row r="8">
      <c r="A8" s="2" t="n">
        <v>4</v>
      </c>
      <c r="B8" s="2">
        <f>CHOOSE(Inputs!$B$12,'S3_D1_Retailer'!C5,'S3_D2_Retailer'!C5,'S3_D3_Retailer'!C5)</f>
        <v/>
      </c>
      <c r="C8" s="2">
        <f>CHOOSE(Inputs!$B$12,'S3_D1_Retailer'!D5,'S3_D2_Retailer'!D5,'S3_D3_Retailer'!D5)</f>
        <v/>
      </c>
      <c r="D8" s="2">
        <f>CHOOSE(Inputs!$B$12,'S3_D1_Retailer'!H5,'S3_D2_Retailer'!H5,'S3_D3_Retailer'!H5)</f>
        <v/>
      </c>
      <c r="E8" s="2">
        <f>CHOOSE(Inputs!$B$12,'S3_D1_Retailer'!I5,'S3_D2_Retailer'!I5,'S3_D3_Retailer'!I5)</f>
        <v/>
      </c>
      <c r="F8" s="2">
        <f>CHOOSE(Inputs!$B$12,'S3_D1_Retailer'!J5,'S3_D2_Retailer'!J5,'S3_D3_Retailer'!J5)</f>
        <v/>
      </c>
      <c r="G8" s="2">
        <f>CHOOSE(Inputs!$B$12,'S3_D1_Retailer'!P5,'S3_D2_Retailer'!P5,'S3_D3_Retailer'!P5)</f>
        <v/>
      </c>
      <c r="H8" s="2">
        <f>CHOOSE(Inputs!$B$12,'S3_D1_Retailer'!K5,'S3_D2_Retailer'!K5,'S3_D3_Retailer'!K5)</f>
        <v/>
      </c>
      <c r="I8" s="2">
        <f>CHOOSE(Inputs!$B$12,'S3_D1_Retailer'!L5,'S3_D2_Retailer'!L5,'S3_D3_Retailer'!L5)</f>
        <v/>
      </c>
      <c r="J8" s="2">
        <f>CHOOSE(Inputs!$B$12,'S3_D1_Retailer'!M5,'S3_D2_Retailer'!M5,'S3_D3_Retailer'!M5)</f>
        <v/>
      </c>
      <c r="K8" s="2">
        <f>CHOOSE(Inputs!$B$12,'S3_D1_Retailer'!N5,'S3_D2_Retailer'!N5,'S3_D3_Retailer'!N5)</f>
        <v/>
      </c>
      <c r="L8" s="2">
        <f>CHOOSE(Inputs!$B$12,'S3_D1_Wholesaler'!C5,'S3_D2_Wholesaler'!C5,'S3_D3_Wholesaler'!C5)</f>
        <v/>
      </c>
      <c r="M8" s="2">
        <f>CHOOSE(Inputs!$B$12,'S3_D1_Wholesaler'!D5,'S3_D2_Wholesaler'!D5,'S3_D3_Wholesaler'!D5)</f>
        <v/>
      </c>
      <c r="N8" s="2">
        <f>CHOOSE(Inputs!$B$12,'S3_D1_Wholesaler'!H5,'S3_D2_Wholesaler'!H5,'S3_D3_Wholesaler'!H5)</f>
        <v/>
      </c>
      <c r="O8" s="2">
        <f>CHOOSE(Inputs!$B$12,'S3_D1_Wholesaler'!I5,'S3_D2_Wholesaler'!I5,'S3_D3_Wholesaler'!I5)</f>
        <v/>
      </c>
      <c r="P8" s="2">
        <f>CHOOSE(Inputs!$B$12,'S3_D1_Wholesaler'!J5,'S3_D2_Wholesaler'!J5,'S3_D3_Wholesaler'!J5)</f>
        <v/>
      </c>
      <c r="Q8" s="2">
        <f>CHOOSE(Inputs!$B$12,'S3_D1_Wholesaler'!P5,'S3_D2_Wholesaler'!P5,'S3_D3_Wholesaler'!P5)</f>
        <v/>
      </c>
      <c r="R8" s="2">
        <f>CHOOSE(Inputs!$B$12,'S3_D1_Wholesaler'!K5,'S3_D2_Wholesaler'!K5,'S3_D3_Wholesaler'!K5)</f>
        <v/>
      </c>
      <c r="S8" s="2">
        <f>CHOOSE(Inputs!$B$12,'S3_D1_Wholesaler'!L5,'S3_D2_Wholesaler'!L5,'S3_D3_Wholesaler'!L5)</f>
        <v/>
      </c>
      <c r="T8" s="2">
        <f>CHOOSE(Inputs!$B$12,'S3_D1_Wholesaler'!M5,'S3_D2_Wholesaler'!M5,'S3_D3_Wholesaler'!M5)</f>
        <v/>
      </c>
      <c r="U8" s="2">
        <f>CHOOSE(Inputs!$B$12,'S3_D1_Wholesaler'!N5,'S3_D2_Wholesaler'!N5,'S3_D3_Wholesaler'!N5)</f>
        <v/>
      </c>
      <c r="V8" s="2">
        <f>CHOOSE(Inputs!$B$12,'S3_D1_Distributor'!C5,'S3_D2_Distributor'!C5,'S3_D3_Distributor'!C5)</f>
        <v/>
      </c>
      <c r="W8" s="2">
        <f>CHOOSE(Inputs!$B$12,'S3_D1_Distributor'!D5,'S3_D2_Distributor'!D5,'S3_D3_Distributor'!D5)</f>
        <v/>
      </c>
      <c r="X8" s="2">
        <f>CHOOSE(Inputs!$B$12,'S3_D1_Distributor'!H5,'S3_D2_Distributor'!H5,'S3_D3_Distributor'!H5)</f>
        <v/>
      </c>
      <c r="Y8" s="2">
        <f>CHOOSE(Inputs!$B$12,'S3_D1_Distributor'!I5,'S3_D2_Distributor'!I5,'S3_D3_Distributor'!I5)</f>
        <v/>
      </c>
      <c r="Z8" s="2">
        <f>CHOOSE(Inputs!$B$12,'S3_D1_Distributor'!J5,'S3_D2_Distributor'!J5,'S3_D3_Distributor'!J5)</f>
        <v/>
      </c>
      <c r="AA8" s="2">
        <f>CHOOSE(Inputs!$B$12,'S3_D1_Distributor'!P5,'S3_D2_Distributor'!P5,'S3_D3_Distributor'!P5)</f>
        <v/>
      </c>
      <c r="AB8" s="2">
        <f>CHOOSE(Inputs!$B$12,'S3_D1_Distributor'!K5,'S3_D2_Distributor'!K5,'S3_D3_Distributor'!K5)</f>
        <v/>
      </c>
      <c r="AC8" s="2">
        <f>CHOOSE(Inputs!$B$12,'S3_D1_Distributor'!L5,'S3_D2_Distributor'!L5,'S3_D3_Distributor'!L5)</f>
        <v/>
      </c>
      <c r="AD8" s="2">
        <f>CHOOSE(Inputs!$B$12,'S3_D1_Distributor'!M5,'S3_D2_Distributor'!M5,'S3_D3_Distributor'!M5)</f>
        <v/>
      </c>
      <c r="AE8" s="2">
        <f>CHOOSE(Inputs!$B$12,'S3_D1_Distributor'!N5,'S3_D2_Distributor'!N5,'S3_D3_Distributor'!N5)</f>
        <v/>
      </c>
      <c r="AF8" s="2">
        <f>CHOOSE(Inputs!$B$12,'S3_D1_Factory'!C5,'S3_D2_Factory'!C5,'S3_D3_Factory'!C5)</f>
        <v/>
      </c>
      <c r="AG8" s="2">
        <f>CHOOSE(Inputs!$B$12,'S3_D1_Factory'!D5,'S3_D2_Factory'!D5,'S3_D3_Factory'!D5)</f>
        <v/>
      </c>
      <c r="AH8" s="2">
        <f>CHOOSE(Inputs!$B$12,'S3_D1_Factory'!H5,'S3_D2_Factory'!H5,'S3_D3_Factory'!H5)</f>
        <v/>
      </c>
      <c r="AI8" s="2">
        <f>CHOOSE(Inputs!$B$12,'S3_D1_Factory'!I5,'S3_D2_Factory'!I5,'S3_D3_Factory'!I5)</f>
        <v/>
      </c>
      <c r="AJ8" s="2">
        <f>CHOOSE(Inputs!$B$12,'S3_D1_Factory'!J5,'S3_D2_Factory'!J5,'S3_D3_Factory'!J5)</f>
        <v/>
      </c>
      <c r="AK8" s="2">
        <f>CHOOSE(Inputs!$B$12,'S3_D1_Factory'!P5,'S3_D2_Factory'!P5,'S3_D3_Factory'!P5)</f>
        <v/>
      </c>
      <c r="AL8" s="2">
        <f>CHOOSE(Inputs!$B$12,'S3_D1_Factory'!K5,'S3_D2_Factory'!K5,'S3_D3_Factory'!K5)</f>
        <v/>
      </c>
      <c r="AM8" s="2">
        <f>CHOOSE(Inputs!$B$12,'S3_D1_Factory'!L5,'S3_D2_Factory'!L5,'S3_D3_Factory'!L5)</f>
        <v/>
      </c>
      <c r="AN8" s="2">
        <f>CHOOSE(Inputs!$B$12,'S3_D1_Factory'!M5,'S3_D2_Factory'!M5,'S3_D3_Factory'!M5)</f>
        <v/>
      </c>
      <c r="AO8" s="2">
        <f>CHOOSE(Inputs!$B$12,'S3_D1_Factory'!N5,'S3_D2_Factory'!N5,'S3_D3_Factory'!N5)</f>
        <v/>
      </c>
      <c r="AP8" s="2">
        <f>SUM(H8,R8,AB8,AL8)</f>
        <v/>
      </c>
      <c r="AQ8" s="2">
        <f>SUM(I8,S8,AC8,AM8)</f>
        <v/>
      </c>
      <c r="AR8" s="2">
        <f>SUM(J8,T8,AD8,AN8)</f>
        <v/>
      </c>
      <c r="AS8" s="2">
        <f>AS7+AR8</f>
        <v/>
      </c>
    </row>
    <row r="9">
      <c r="A9" s="2" t="n">
        <v>5</v>
      </c>
      <c r="B9" s="2">
        <f>CHOOSE(Inputs!$B$12,'S3_D1_Retailer'!C6,'S3_D2_Retailer'!C6,'S3_D3_Retailer'!C6)</f>
        <v/>
      </c>
      <c r="C9" s="2">
        <f>CHOOSE(Inputs!$B$12,'S3_D1_Retailer'!D6,'S3_D2_Retailer'!D6,'S3_D3_Retailer'!D6)</f>
        <v/>
      </c>
      <c r="D9" s="2">
        <f>CHOOSE(Inputs!$B$12,'S3_D1_Retailer'!H6,'S3_D2_Retailer'!H6,'S3_D3_Retailer'!H6)</f>
        <v/>
      </c>
      <c r="E9" s="2">
        <f>CHOOSE(Inputs!$B$12,'S3_D1_Retailer'!I6,'S3_D2_Retailer'!I6,'S3_D3_Retailer'!I6)</f>
        <v/>
      </c>
      <c r="F9" s="2">
        <f>CHOOSE(Inputs!$B$12,'S3_D1_Retailer'!J6,'S3_D2_Retailer'!J6,'S3_D3_Retailer'!J6)</f>
        <v/>
      </c>
      <c r="G9" s="2">
        <f>CHOOSE(Inputs!$B$12,'S3_D1_Retailer'!P6,'S3_D2_Retailer'!P6,'S3_D3_Retailer'!P6)</f>
        <v/>
      </c>
      <c r="H9" s="2">
        <f>CHOOSE(Inputs!$B$12,'S3_D1_Retailer'!K6,'S3_D2_Retailer'!K6,'S3_D3_Retailer'!K6)</f>
        <v/>
      </c>
      <c r="I9" s="2">
        <f>CHOOSE(Inputs!$B$12,'S3_D1_Retailer'!L6,'S3_D2_Retailer'!L6,'S3_D3_Retailer'!L6)</f>
        <v/>
      </c>
      <c r="J9" s="2">
        <f>CHOOSE(Inputs!$B$12,'S3_D1_Retailer'!M6,'S3_D2_Retailer'!M6,'S3_D3_Retailer'!M6)</f>
        <v/>
      </c>
      <c r="K9" s="2">
        <f>CHOOSE(Inputs!$B$12,'S3_D1_Retailer'!N6,'S3_D2_Retailer'!N6,'S3_D3_Retailer'!N6)</f>
        <v/>
      </c>
      <c r="L9" s="2">
        <f>CHOOSE(Inputs!$B$12,'S3_D1_Wholesaler'!C6,'S3_D2_Wholesaler'!C6,'S3_D3_Wholesaler'!C6)</f>
        <v/>
      </c>
      <c r="M9" s="2">
        <f>CHOOSE(Inputs!$B$12,'S3_D1_Wholesaler'!D6,'S3_D2_Wholesaler'!D6,'S3_D3_Wholesaler'!D6)</f>
        <v/>
      </c>
      <c r="N9" s="2">
        <f>CHOOSE(Inputs!$B$12,'S3_D1_Wholesaler'!H6,'S3_D2_Wholesaler'!H6,'S3_D3_Wholesaler'!H6)</f>
        <v/>
      </c>
      <c r="O9" s="2">
        <f>CHOOSE(Inputs!$B$12,'S3_D1_Wholesaler'!I6,'S3_D2_Wholesaler'!I6,'S3_D3_Wholesaler'!I6)</f>
        <v/>
      </c>
      <c r="P9" s="2">
        <f>CHOOSE(Inputs!$B$12,'S3_D1_Wholesaler'!J6,'S3_D2_Wholesaler'!J6,'S3_D3_Wholesaler'!J6)</f>
        <v/>
      </c>
      <c r="Q9" s="2">
        <f>CHOOSE(Inputs!$B$12,'S3_D1_Wholesaler'!P6,'S3_D2_Wholesaler'!P6,'S3_D3_Wholesaler'!P6)</f>
        <v/>
      </c>
      <c r="R9" s="2">
        <f>CHOOSE(Inputs!$B$12,'S3_D1_Wholesaler'!K6,'S3_D2_Wholesaler'!K6,'S3_D3_Wholesaler'!K6)</f>
        <v/>
      </c>
      <c r="S9" s="2">
        <f>CHOOSE(Inputs!$B$12,'S3_D1_Wholesaler'!L6,'S3_D2_Wholesaler'!L6,'S3_D3_Wholesaler'!L6)</f>
        <v/>
      </c>
      <c r="T9" s="2">
        <f>CHOOSE(Inputs!$B$12,'S3_D1_Wholesaler'!M6,'S3_D2_Wholesaler'!M6,'S3_D3_Wholesaler'!M6)</f>
        <v/>
      </c>
      <c r="U9" s="2">
        <f>CHOOSE(Inputs!$B$12,'S3_D1_Wholesaler'!N6,'S3_D2_Wholesaler'!N6,'S3_D3_Wholesaler'!N6)</f>
        <v/>
      </c>
      <c r="V9" s="2">
        <f>CHOOSE(Inputs!$B$12,'S3_D1_Distributor'!C6,'S3_D2_Distributor'!C6,'S3_D3_Distributor'!C6)</f>
        <v/>
      </c>
      <c r="W9" s="2">
        <f>CHOOSE(Inputs!$B$12,'S3_D1_Distributor'!D6,'S3_D2_Distributor'!D6,'S3_D3_Distributor'!D6)</f>
        <v/>
      </c>
      <c r="X9" s="2">
        <f>CHOOSE(Inputs!$B$12,'S3_D1_Distributor'!H6,'S3_D2_Distributor'!H6,'S3_D3_Distributor'!H6)</f>
        <v/>
      </c>
      <c r="Y9" s="2">
        <f>CHOOSE(Inputs!$B$12,'S3_D1_Distributor'!I6,'S3_D2_Distributor'!I6,'S3_D3_Distributor'!I6)</f>
        <v/>
      </c>
      <c r="Z9" s="2">
        <f>CHOOSE(Inputs!$B$12,'S3_D1_Distributor'!J6,'S3_D2_Distributor'!J6,'S3_D3_Distributor'!J6)</f>
        <v/>
      </c>
      <c r="AA9" s="2">
        <f>CHOOSE(Inputs!$B$12,'S3_D1_Distributor'!P6,'S3_D2_Distributor'!P6,'S3_D3_Distributor'!P6)</f>
        <v/>
      </c>
      <c r="AB9" s="2">
        <f>CHOOSE(Inputs!$B$12,'S3_D1_Distributor'!K6,'S3_D2_Distributor'!K6,'S3_D3_Distributor'!K6)</f>
        <v/>
      </c>
      <c r="AC9" s="2">
        <f>CHOOSE(Inputs!$B$12,'S3_D1_Distributor'!L6,'S3_D2_Distributor'!L6,'S3_D3_Distributor'!L6)</f>
        <v/>
      </c>
      <c r="AD9" s="2">
        <f>CHOOSE(Inputs!$B$12,'S3_D1_Distributor'!M6,'S3_D2_Distributor'!M6,'S3_D3_Distributor'!M6)</f>
        <v/>
      </c>
      <c r="AE9" s="2">
        <f>CHOOSE(Inputs!$B$12,'S3_D1_Distributor'!N6,'S3_D2_Distributor'!N6,'S3_D3_Distributor'!N6)</f>
        <v/>
      </c>
      <c r="AF9" s="2">
        <f>CHOOSE(Inputs!$B$12,'S3_D1_Factory'!C6,'S3_D2_Factory'!C6,'S3_D3_Factory'!C6)</f>
        <v/>
      </c>
      <c r="AG9" s="2">
        <f>CHOOSE(Inputs!$B$12,'S3_D1_Factory'!D6,'S3_D2_Factory'!D6,'S3_D3_Factory'!D6)</f>
        <v/>
      </c>
      <c r="AH9" s="2">
        <f>CHOOSE(Inputs!$B$12,'S3_D1_Factory'!H6,'S3_D2_Factory'!H6,'S3_D3_Factory'!H6)</f>
        <v/>
      </c>
      <c r="AI9" s="2">
        <f>CHOOSE(Inputs!$B$12,'S3_D1_Factory'!I6,'S3_D2_Factory'!I6,'S3_D3_Factory'!I6)</f>
        <v/>
      </c>
      <c r="AJ9" s="2">
        <f>CHOOSE(Inputs!$B$12,'S3_D1_Factory'!J6,'S3_D2_Factory'!J6,'S3_D3_Factory'!J6)</f>
        <v/>
      </c>
      <c r="AK9" s="2">
        <f>CHOOSE(Inputs!$B$12,'S3_D1_Factory'!P6,'S3_D2_Factory'!P6,'S3_D3_Factory'!P6)</f>
        <v/>
      </c>
      <c r="AL9" s="2">
        <f>CHOOSE(Inputs!$B$12,'S3_D1_Factory'!K6,'S3_D2_Factory'!K6,'S3_D3_Factory'!K6)</f>
        <v/>
      </c>
      <c r="AM9" s="2">
        <f>CHOOSE(Inputs!$B$12,'S3_D1_Factory'!L6,'S3_D2_Factory'!L6,'S3_D3_Factory'!L6)</f>
        <v/>
      </c>
      <c r="AN9" s="2">
        <f>CHOOSE(Inputs!$B$12,'S3_D1_Factory'!M6,'S3_D2_Factory'!M6,'S3_D3_Factory'!M6)</f>
        <v/>
      </c>
      <c r="AO9" s="2">
        <f>CHOOSE(Inputs!$B$12,'S3_D1_Factory'!N6,'S3_D2_Factory'!N6,'S3_D3_Factory'!N6)</f>
        <v/>
      </c>
      <c r="AP9" s="2">
        <f>SUM(H9,R9,AB9,AL9)</f>
        <v/>
      </c>
      <c r="AQ9" s="2">
        <f>SUM(I9,S9,AC9,AM9)</f>
        <v/>
      </c>
      <c r="AR9" s="2">
        <f>SUM(J9,T9,AD9,AN9)</f>
        <v/>
      </c>
      <c r="AS9" s="2">
        <f>AS8+AR9</f>
        <v/>
      </c>
    </row>
    <row r="10">
      <c r="A10" s="2" t="n">
        <v>6</v>
      </c>
      <c r="B10" s="2">
        <f>CHOOSE(Inputs!$B$12,'S3_D1_Retailer'!C7,'S3_D2_Retailer'!C7,'S3_D3_Retailer'!C7)</f>
        <v/>
      </c>
      <c r="C10" s="2">
        <f>CHOOSE(Inputs!$B$12,'S3_D1_Retailer'!D7,'S3_D2_Retailer'!D7,'S3_D3_Retailer'!D7)</f>
        <v/>
      </c>
      <c r="D10" s="2">
        <f>CHOOSE(Inputs!$B$12,'S3_D1_Retailer'!H7,'S3_D2_Retailer'!H7,'S3_D3_Retailer'!H7)</f>
        <v/>
      </c>
      <c r="E10" s="2">
        <f>CHOOSE(Inputs!$B$12,'S3_D1_Retailer'!I7,'S3_D2_Retailer'!I7,'S3_D3_Retailer'!I7)</f>
        <v/>
      </c>
      <c r="F10" s="2">
        <f>CHOOSE(Inputs!$B$12,'S3_D1_Retailer'!J7,'S3_D2_Retailer'!J7,'S3_D3_Retailer'!J7)</f>
        <v/>
      </c>
      <c r="G10" s="2">
        <f>CHOOSE(Inputs!$B$12,'S3_D1_Retailer'!P7,'S3_D2_Retailer'!P7,'S3_D3_Retailer'!P7)</f>
        <v/>
      </c>
      <c r="H10" s="2">
        <f>CHOOSE(Inputs!$B$12,'S3_D1_Retailer'!K7,'S3_D2_Retailer'!K7,'S3_D3_Retailer'!K7)</f>
        <v/>
      </c>
      <c r="I10" s="2">
        <f>CHOOSE(Inputs!$B$12,'S3_D1_Retailer'!L7,'S3_D2_Retailer'!L7,'S3_D3_Retailer'!L7)</f>
        <v/>
      </c>
      <c r="J10" s="2">
        <f>CHOOSE(Inputs!$B$12,'S3_D1_Retailer'!M7,'S3_D2_Retailer'!M7,'S3_D3_Retailer'!M7)</f>
        <v/>
      </c>
      <c r="K10" s="2">
        <f>CHOOSE(Inputs!$B$12,'S3_D1_Retailer'!N7,'S3_D2_Retailer'!N7,'S3_D3_Retailer'!N7)</f>
        <v/>
      </c>
      <c r="L10" s="2">
        <f>CHOOSE(Inputs!$B$12,'S3_D1_Wholesaler'!C7,'S3_D2_Wholesaler'!C7,'S3_D3_Wholesaler'!C7)</f>
        <v/>
      </c>
      <c r="M10" s="2">
        <f>CHOOSE(Inputs!$B$12,'S3_D1_Wholesaler'!D7,'S3_D2_Wholesaler'!D7,'S3_D3_Wholesaler'!D7)</f>
        <v/>
      </c>
      <c r="N10" s="2">
        <f>CHOOSE(Inputs!$B$12,'S3_D1_Wholesaler'!H7,'S3_D2_Wholesaler'!H7,'S3_D3_Wholesaler'!H7)</f>
        <v/>
      </c>
      <c r="O10" s="2">
        <f>CHOOSE(Inputs!$B$12,'S3_D1_Wholesaler'!I7,'S3_D2_Wholesaler'!I7,'S3_D3_Wholesaler'!I7)</f>
        <v/>
      </c>
      <c r="P10" s="2">
        <f>CHOOSE(Inputs!$B$12,'S3_D1_Wholesaler'!J7,'S3_D2_Wholesaler'!J7,'S3_D3_Wholesaler'!J7)</f>
        <v/>
      </c>
      <c r="Q10" s="2">
        <f>CHOOSE(Inputs!$B$12,'S3_D1_Wholesaler'!P7,'S3_D2_Wholesaler'!P7,'S3_D3_Wholesaler'!P7)</f>
        <v/>
      </c>
      <c r="R10" s="2">
        <f>CHOOSE(Inputs!$B$12,'S3_D1_Wholesaler'!K7,'S3_D2_Wholesaler'!K7,'S3_D3_Wholesaler'!K7)</f>
        <v/>
      </c>
      <c r="S10" s="2">
        <f>CHOOSE(Inputs!$B$12,'S3_D1_Wholesaler'!L7,'S3_D2_Wholesaler'!L7,'S3_D3_Wholesaler'!L7)</f>
        <v/>
      </c>
      <c r="T10" s="2">
        <f>CHOOSE(Inputs!$B$12,'S3_D1_Wholesaler'!M7,'S3_D2_Wholesaler'!M7,'S3_D3_Wholesaler'!M7)</f>
        <v/>
      </c>
      <c r="U10" s="2">
        <f>CHOOSE(Inputs!$B$12,'S3_D1_Wholesaler'!N7,'S3_D2_Wholesaler'!N7,'S3_D3_Wholesaler'!N7)</f>
        <v/>
      </c>
      <c r="V10" s="2">
        <f>CHOOSE(Inputs!$B$12,'S3_D1_Distributor'!C7,'S3_D2_Distributor'!C7,'S3_D3_Distributor'!C7)</f>
        <v/>
      </c>
      <c r="W10" s="2">
        <f>CHOOSE(Inputs!$B$12,'S3_D1_Distributor'!D7,'S3_D2_Distributor'!D7,'S3_D3_Distributor'!D7)</f>
        <v/>
      </c>
      <c r="X10" s="2">
        <f>CHOOSE(Inputs!$B$12,'S3_D1_Distributor'!H7,'S3_D2_Distributor'!H7,'S3_D3_Distributor'!H7)</f>
        <v/>
      </c>
      <c r="Y10" s="2">
        <f>CHOOSE(Inputs!$B$12,'S3_D1_Distributor'!I7,'S3_D2_Distributor'!I7,'S3_D3_Distributor'!I7)</f>
        <v/>
      </c>
      <c r="Z10" s="2">
        <f>CHOOSE(Inputs!$B$12,'S3_D1_Distributor'!J7,'S3_D2_Distributor'!J7,'S3_D3_Distributor'!J7)</f>
        <v/>
      </c>
      <c r="AA10" s="2">
        <f>CHOOSE(Inputs!$B$12,'S3_D1_Distributor'!P7,'S3_D2_Distributor'!P7,'S3_D3_Distributor'!P7)</f>
        <v/>
      </c>
      <c r="AB10" s="2">
        <f>CHOOSE(Inputs!$B$12,'S3_D1_Distributor'!K7,'S3_D2_Distributor'!K7,'S3_D3_Distributor'!K7)</f>
        <v/>
      </c>
      <c r="AC10" s="2">
        <f>CHOOSE(Inputs!$B$12,'S3_D1_Distributor'!L7,'S3_D2_Distributor'!L7,'S3_D3_Distributor'!L7)</f>
        <v/>
      </c>
      <c r="AD10" s="2">
        <f>CHOOSE(Inputs!$B$12,'S3_D1_Distributor'!M7,'S3_D2_Distributor'!M7,'S3_D3_Distributor'!M7)</f>
        <v/>
      </c>
      <c r="AE10" s="2">
        <f>CHOOSE(Inputs!$B$12,'S3_D1_Distributor'!N7,'S3_D2_Distributor'!N7,'S3_D3_Distributor'!N7)</f>
        <v/>
      </c>
      <c r="AF10" s="2">
        <f>CHOOSE(Inputs!$B$12,'S3_D1_Factory'!C7,'S3_D2_Factory'!C7,'S3_D3_Factory'!C7)</f>
        <v/>
      </c>
      <c r="AG10" s="2">
        <f>CHOOSE(Inputs!$B$12,'S3_D1_Factory'!D7,'S3_D2_Factory'!D7,'S3_D3_Factory'!D7)</f>
        <v/>
      </c>
      <c r="AH10" s="2">
        <f>CHOOSE(Inputs!$B$12,'S3_D1_Factory'!H7,'S3_D2_Factory'!H7,'S3_D3_Factory'!H7)</f>
        <v/>
      </c>
      <c r="AI10" s="2">
        <f>CHOOSE(Inputs!$B$12,'S3_D1_Factory'!I7,'S3_D2_Factory'!I7,'S3_D3_Factory'!I7)</f>
        <v/>
      </c>
      <c r="AJ10" s="2">
        <f>CHOOSE(Inputs!$B$12,'S3_D1_Factory'!J7,'S3_D2_Factory'!J7,'S3_D3_Factory'!J7)</f>
        <v/>
      </c>
      <c r="AK10" s="2">
        <f>CHOOSE(Inputs!$B$12,'S3_D1_Factory'!P7,'S3_D2_Factory'!P7,'S3_D3_Factory'!P7)</f>
        <v/>
      </c>
      <c r="AL10" s="2">
        <f>CHOOSE(Inputs!$B$12,'S3_D1_Factory'!K7,'S3_D2_Factory'!K7,'S3_D3_Factory'!K7)</f>
        <v/>
      </c>
      <c r="AM10" s="2">
        <f>CHOOSE(Inputs!$B$12,'S3_D1_Factory'!L7,'S3_D2_Factory'!L7,'S3_D3_Factory'!L7)</f>
        <v/>
      </c>
      <c r="AN10" s="2">
        <f>CHOOSE(Inputs!$B$12,'S3_D1_Factory'!M7,'S3_D2_Factory'!M7,'S3_D3_Factory'!M7)</f>
        <v/>
      </c>
      <c r="AO10" s="2">
        <f>CHOOSE(Inputs!$B$12,'S3_D1_Factory'!N7,'S3_D2_Factory'!N7,'S3_D3_Factory'!N7)</f>
        <v/>
      </c>
      <c r="AP10" s="2">
        <f>SUM(H10,R10,AB10,AL10)</f>
        <v/>
      </c>
      <c r="AQ10" s="2">
        <f>SUM(I10,S10,AC10,AM10)</f>
        <v/>
      </c>
      <c r="AR10" s="2">
        <f>SUM(J10,T10,AD10,AN10)</f>
        <v/>
      </c>
      <c r="AS10" s="2">
        <f>AS9+AR10</f>
        <v/>
      </c>
    </row>
    <row r="11">
      <c r="A11" s="2" t="n">
        <v>7</v>
      </c>
      <c r="B11" s="2">
        <f>CHOOSE(Inputs!$B$12,'S3_D1_Retailer'!C8,'S3_D2_Retailer'!C8,'S3_D3_Retailer'!C8)</f>
        <v/>
      </c>
      <c r="C11" s="2">
        <f>CHOOSE(Inputs!$B$12,'S3_D1_Retailer'!D8,'S3_D2_Retailer'!D8,'S3_D3_Retailer'!D8)</f>
        <v/>
      </c>
      <c r="D11" s="2">
        <f>CHOOSE(Inputs!$B$12,'S3_D1_Retailer'!H8,'S3_D2_Retailer'!H8,'S3_D3_Retailer'!H8)</f>
        <v/>
      </c>
      <c r="E11" s="2">
        <f>CHOOSE(Inputs!$B$12,'S3_D1_Retailer'!I8,'S3_D2_Retailer'!I8,'S3_D3_Retailer'!I8)</f>
        <v/>
      </c>
      <c r="F11" s="2">
        <f>CHOOSE(Inputs!$B$12,'S3_D1_Retailer'!J8,'S3_D2_Retailer'!J8,'S3_D3_Retailer'!J8)</f>
        <v/>
      </c>
      <c r="G11" s="2">
        <f>CHOOSE(Inputs!$B$12,'S3_D1_Retailer'!P8,'S3_D2_Retailer'!P8,'S3_D3_Retailer'!P8)</f>
        <v/>
      </c>
      <c r="H11" s="2">
        <f>CHOOSE(Inputs!$B$12,'S3_D1_Retailer'!K8,'S3_D2_Retailer'!K8,'S3_D3_Retailer'!K8)</f>
        <v/>
      </c>
      <c r="I11" s="2">
        <f>CHOOSE(Inputs!$B$12,'S3_D1_Retailer'!L8,'S3_D2_Retailer'!L8,'S3_D3_Retailer'!L8)</f>
        <v/>
      </c>
      <c r="J11" s="2">
        <f>CHOOSE(Inputs!$B$12,'S3_D1_Retailer'!M8,'S3_D2_Retailer'!M8,'S3_D3_Retailer'!M8)</f>
        <v/>
      </c>
      <c r="K11" s="2">
        <f>CHOOSE(Inputs!$B$12,'S3_D1_Retailer'!N8,'S3_D2_Retailer'!N8,'S3_D3_Retailer'!N8)</f>
        <v/>
      </c>
      <c r="L11" s="2">
        <f>CHOOSE(Inputs!$B$12,'S3_D1_Wholesaler'!C8,'S3_D2_Wholesaler'!C8,'S3_D3_Wholesaler'!C8)</f>
        <v/>
      </c>
      <c r="M11" s="2">
        <f>CHOOSE(Inputs!$B$12,'S3_D1_Wholesaler'!D8,'S3_D2_Wholesaler'!D8,'S3_D3_Wholesaler'!D8)</f>
        <v/>
      </c>
      <c r="N11" s="2">
        <f>CHOOSE(Inputs!$B$12,'S3_D1_Wholesaler'!H8,'S3_D2_Wholesaler'!H8,'S3_D3_Wholesaler'!H8)</f>
        <v/>
      </c>
      <c r="O11" s="2">
        <f>CHOOSE(Inputs!$B$12,'S3_D1_Wholesaler'!I8,'S3_D2_Wholesaler'!I8,'S3_D3_Wholesaler'!I8)</f>
        <v/>
      </c>
      <c r="P11" s="2">
        <f>CHOOSE(Inputs!$B$12,'S3_D1_Wholesaler'!J8,'S3_D2_Wholesaler'!J8,'S3_D3_Wholesaler'!J8)</f>
        <v/>
      </c>
      <c r="Q11" s="2">
        <f>CHOOSE(Inputs!$B$12,'S3_D1_Wholesaler'!P8,'S3_D2_Wholesaler'!P8,'S3_D3_Wholesaler'!P8)</f>
        <v/>
      </c>
      <c r="R11" s="2">
        <f>CHOOSE(Inputs!$B$12,'S3_D1_Wholesaler'!K8,'S3_D2_Wholesaler'!K8,'S3_D3_Wholesaler'!K8)</f>
        <v/>
      </c>
      <c r="S11" s="2">
        <f>CHOOSE(Inputs!$B$12,'S3_D1_Wholesaler'!L8,'S3_D2_Wholesaler'!L8,'S3_D3_Wholesaler'!L8)</f>
        <v/>
      </c>
      <c r="T11" s="2">
        <f>CHOOSE(Inputs!$B$12,'S3_D1_Wholesaler'!M8,'S3_D2_Wholesaler'!M8,'S3_D3_Wholesaler'!M8)</f>
        <v/>
      </c>
      <c r="U11" s="2">
        <f>CHOOSE(Inputs!$B$12,'S3_D1_Wholesaler'!N8,'S3_D2_Wholesaler'!N8,'S3_D3_Wholesaler'!N8)</f>
        <v/>
      </c>
      <c r="V11" s="2">
        <f>CHOOSE(Inputs!$B$12,'S3_D1_Distributor'!C8,'S3_D2_Distributor'!C8,'S3_D3_Distributor'!C8)</f>
        <v/>
      </c>
      <c r="W11" s="2">
        <f>CHOOSE(Inputs!$B$12,'S3_D1_Distributor'!D8,'S3_D2_Distributor'!D8,'S3_D3_Distributor'!D8)</f>
        <v/>
      </c>
      <c r="X11" s="2">
        <f>CHOOSE(Inputs!$B$12,'S3_D1_Distributor'!H8,'S3_D2_Distributor'!H8,'S3_D3_Distributor'!H8)</f>
        <v/>
      </c>
      <c r="Y11" s="2">
        <f>CHOOSE(Inputs!$B$12,'S3_D1_Distributor'!I8,'S3_D2_Distributor'!I8,'S3_D3_Distributor'!I8)</f>
        <v/>
      </c>
      <c r="Z11" s="2">
        <f>CHOOSE(Inputs!$B$12,'S3_D1_Distributor'!J8,'S3_D2_Distributor'!J8,'S3_D3_Distributor'!J8)</f>
        <v/>
      </c>
      <c r="AA11" s="2">
        <f>CHOOSE(Inputs!$B$12,'S3_D1_Distributor'!P8,'S3_D2_Distributor'!P8,'S3_D3_Distributor'!P8)</f>
        <v/>
      </c>
      <c r="AB11" s="2">
        <f>CHOOSE(Inputs!$B$12,'S3_D1_Distributor'!K8,'S3_D2_Distributor'!K8,'S3_D3_Distributor'!K8)</f>
        <v/>
      </c>
      <c r="AC11" s="2">
        <f>CHOOSE(Inputs!$B$12,'S3_D1_Distributor'!L8,'S3_D2_Distributor'!L8,'S3_D3_Distributor'!L8)</f>
        <v/>
      </c>
      <c r="AD11" s="2">
        <f>CHOOSE(Inputs!$B$12,'S3_D1_Distributor'!M8,'S3_D2_Distributor'!M8,'S3_D3_Distributor'!M8)</f>
        <v/>
      </c>
      <c r="AE11" s="2">
        <f>CHOOSE(Inputs!$B$12,'S3_D1_Distributor'!N8,'S3_D2_Distributor'!N8,'S3_D3_Distributor'!N8)</f>
        <v/>
      </c>
      <c r="AF11" s="2">
        <f>CHOOSE(Inputs!$B$12,'S3_D1_Factory'!C8,'S3_D2_Factory'!C8,'S3_D3_Factory'!C8)</f>
        <v/>
      </c>
      <c r="AG11" s="2">
        <f>CHOOSE(Inputs!$B$12,'S3_D1_Factory'!D8,'S3_D2_Factory'!D8,'S3_D3_Factory'!D8)</f>
        <v/>
      </c>
      <c r="AH11" s="2">
        <f>CHOOSE(Inputs!$B$12,'S3_D1_Factory'!H8,'S3_D2_Factory'!H8,'S3_D3_Factory'!H8)</f>
        <v/>
      </c>
      <c r="AI11" s="2">
        <f>CHOOSE(Inputs!$B$12,'S3_D1_Factory'!I8,'S3_D2_Factory'!I8,'S3_D3_Factory'!I8)</f>
        <v/>
      </c>
      <c r="AJ11" s="2">
        <f>CHOOSE(Inputs!$B$12,'S3_D1_Factory'!J8,'S3_D2_Factory'!J8,'S3_D3_Factory'!J8)</f>
        <v/>
      </c>
      <c r="AK11" s="2">
        <f>CHOOSE(Inputs!$B$12,'S3_D1_Factory'!P8,'S3_D2_Factory'!P8,'S3_D3_Factory'!P8)</f>
        <v/>
      </c>
      <c r="AL11" s="2">
        <f>CHOOSE(Inputs!$B$12,'S3_D1_Factory'!K8,'S3_D2_Factory'!K8,'S3_D3_Factory'!K8)</f>
        <v/>
      </c>
      <c r="AM11" s="2">
        <f>CHOOSE(Inputs!$B$12,'S3_D1_Factory'!L8,'S3_D2_Factory'!L8,'S3_D3_Factory'!L8)</f>
        <v/>
      </c>
      <c r="AN11" s="2">
        <f>CHOOSE(Inputs!$B$12,'S3_D1_Factory'!M8,'S3_D2_Factory'!M8,'S3_D3_Factory'!M8)</f>
        <v/>
      </c>
      <c r="AO11" s="2">
        <f>CHOOSE(Inputs!$B$12,'S3_D1_Factory'!N8,'S3_D2_Factory'!N8,'S3_D3_Factory'!N8)</f>
        <v/>
      </c>
      <c r="AP11" s="2">
        <f>SUM(H11,R11,AB11,AL11)</f>
        <v/>
      </c>
      <c r="AQ11" s="2">
        <f>SUM(I11,S11,AC11,AM11)</f>
        <v/>
      </c>
      <c r="AR11" s="2">
        <f>SUM(J11,T11,AD11,AN11)</f>
        <v/>
      </c>
      <c r="AS11" s="2">
        <f>AS10+AR11</f>
        <v/>
      </c>
    </row>
    <row r="12">
      <c r="A12" s="2" t="n">
        <v>8</v>
      </c>
      <c r="B12" s="2">
        <f>CHOOSE(Inputs!$B$12,'S3_D1_Retailer'!C9,'S3_D2_Retailer'!C9,'S3_D3_Retailer'!C9)</f>
        <v/>
      </c>
      <c r="C12" s="2">
        <f>CHOOSE(Inputs!$B$12,'S3_D1_Retailer'!D9,'S3_D2_Retailer'!D9,'S3_D3_Retailer'!D9)</f>
        <v/>
      </c>
      <c r="D12" s="2">
        <f>CHOOSE(Inputs!$B$12,'S3_D1_Retailer'!H9,'S3_D2_Retailer'!H9,'S3_D3_Retailer'!H9)</f>
        <v/>
      </c>
      <c r="E12" s="2">
        <f>CHOOSE(Inputs!$B$12,'S3_D1_Retailer'!I9,'S3_D2_Retailer'!I9,'S3_D3_Retailer'!I9)</f>
        <v/>
      </c>
      <c r="F12" s="2">
        <f>CHOOSE(Inputs!$B$12,'S3_D1_Retailer'!J9,'S3_D2_Retailer'!J9,'S3_D3_Retailer'!J9)</f>
        <v/>
      </c>
      <c r="G12" s="2">
        <f>CHOOSE(Inputs!$B$12,'S3_D1_Retailer'!P9,'S3_D2_Retailer'!P9,'S3_D3_Retailer'!P9)</f>
        <v/>
      </c>
      <c r="H12" s="2">
        <f>CHOOSE(Inputs!$B$12,'S3_D1_Retailer'!K9,'S3_D2_Retailer'!K9,'S3_D3_Retailer'!K9)</f>
        <v/>
      </c>
      <c r="I12" s="2">
        <f>CHOOSE(Inputs!$B$12,'S3_D1_Retailer'!L9,'S3_D2_Retailer'!L9,'S3_D3_Retailer'!L9)</f>
        <v/>
      </c>
      <c r="J12" s="2">
        <f>CHOOSE(Inputs!$B$12,'S3_D1_Retailer'!M9,'S3_D2_Retailer'!M9,'S3_D3_Retailer'!M9)</f>
        <v/>
      </c>
      <c r="K12" s="2">
        <f>CHOOSE(Inputs!$B$12,'S3_D1_Retailer'!N9,'S3_D2_Retailer'!N9,'S3_D3_Retailer'!N9)</f>
        <v/>
      </c>
      <c r="L12" s="2">
        <f>CHOOSE(Inputs!$B$12,'S3_D1_Wholesaler'!C9,'S3_D2_Wholesaler'!C9,'S3_D3_Wholesaler'!C9)</f>
        <v/>
      </c>
      <c r="M12" s="2">
        <f>CHOOSE(Inputs!$B$12,'S3_D1_Wholesaler'!D9,'S3_D2_Wholesaler'!D9,'S3_D3_Wholesaler'!D9)</f>
        <v/>
      </c>
      <c r="N12" s="2">
        <f>CHOOSE(Inputs!$B$12,'S3_D1_Wholesaler'!H9,'S3_D2_Wholesaler'!H9,'S3_D3_Wholesaler'!H9)</f>
        <v/>
      </c>
      <c r="O12" s="2">
        <f>CHOOSE(Inputs!$B$12,'S3_D1_Wholesaler'!I9,'S3_D2_Wholesaler'!I9,'S3_D3_Wholesaler'!I9)</f>
        <v/>
      </c>
      <c r="P12" s="2">
        <f>CHOOSE(Inputs!$B$12,'S3_D1_Wholesaler'!J9,'S3_D2_Wholesaler'!J9,'S3_D3_Wholesaler'!J9)</f>
        <v/>
      </c>
      <c r="Q12" s="2">
        <f>CHOOSE(Inputs!$B$12,'S3_D1_Wholesaler'!P9,'S3_D2_Wholesaler'!P9,'S3_D3_Wholesaler'!P9)</f>
        <v/>
      </c>
      <c r="R12" s="2">
        <f>CHOOSE(Inputs!$B$12,'S3_D1_Wholesaler'!K9,'S3_D2_Wholesaler'!K9,'S3_D3_Wholesaler'!K9)</f>
        <v/>
      </c>
      <c r="S12" s="2">
        <f>CHOOSE(Inputs!$B$12,'S3_D1_Wholesaler'!L9,'S3_D2_Wholesaler'!L9,'S3_D3_Wholesaler'!L9)</f>
        <v/>
      </c>
      <c r="T12" s="2">
        <f>CHOOSE(Inputs!$B$12,'S3_D1_Wholesaler'!M9,'S3_D2_Wholesaler'!M9,'S3_D3_Wholesaler'!M9)</f>
        <v/>
      </c>
      <c r="U12" s="2">
        <f>CHOOSE(Inputs!$B$12,'S3_D1_Wholesaler'!N9,'S3_D2_Wholesaler'!N9,'S3_D3_Wholesaler'!N9)</f>
        <v/>
      </c>
      <c r="V12" s="2">
        <f>CHOOSE(Inputs!$B$12,'S3_D1_Distributor'!C9,'S3_D2_Distributor'!C9,'S3_D3_Distributor'!C9)</f>
        <v/>
      </c>
      <c r="W12" s="2">
        <f>CHOOSE(Inputs!$B$12,'S3_D1_Distributor'!D9,'S3_D2_Distributor'!D9,'S3_D3_Distributor'!D9)</f>
        <v/>
      </c>
      <c r="X12" s="2">
        <f>CHOOSE(Inputs!$B$12,'S3_D1_Distributor'!H9,'S3_D2_Distributor'!H9,'S3_D3_Distributor'!H9)</f>
        <v/>
      </c>
      <c r="Y12" s="2">
        <f>CHOOSE(Inputs!$B$12,'S3_D1_Distributor'!I9,'S3_D2_Distributor'!I9,'S3_D3_Distributor'!I9)</f>
        <v/>
      </c>
      <c r="Z12" s="2">
        <f>CHOOSE(Inputs!$B$12,'S3_D1_Distributor'!J9,'S3_D2_Distributor'!J9,'S3_D3_Distributor'!J9)</f>
        <v/>
      </c>
      <c r="AA12" s="2">
        <f>CHOOSE(Inputs!$B$12,'S3_D1_Distributor'!P9,'S3_D2_Distributor'!P9,'S3_D3_Distributor'!P9)</f>
        <v/>
      </c>
      <c r="AB12" s="2">
        <f>CHOOSE(Inputs!$B$12,'S3_D1_Distributor'!K9,'S3_D2_Distributor'!K9,'S3_D3_Distributor'!K9)</f>
        <v/>
      </c>
      <c r="AC12" s="2">
        <f>CHOOSE(Inputs!$B$12,'S3_D1_Distributor'!L9,'S3_D2_Distributor'!L9,'S3_D3_Distributor'!L9)</f>
        <v/>
      </c>
      <c r="AD12" s="2">
        <f>CHOOSE(Inputs!$B$12,'S3_D1_Distributor'!M9,'S3_D2_Distributor'!M9,'S3_D3_Distributor'!M9)</f>
        <v/>
      </c>
      <c r="AE12" s="2">
        <f>CHOOSE(Inputs!$B$12,'S3_D1_Distributor'!N9,'S3_D2_Distributor'!N9,'S3_D3_Distributor'!N9)</f>
        <v/>
      </c>
      <c r="AF12" s="2">
        <f>CHOOSE(Inputs!$B$12,'S3_D1_Factory'!C9,'S3_D2_Factory'!C9,'S3_D3_Factory'!C9)</f>
        <v/>
      </c>
      <c r="AG12" s="2">
        <f>CHOOSE(Inputs!$B$12,'S3_D1_Factory'!D9,'S3_D2_Factory'!D9,'S3_D3_Factory'!D9)</f>
        <v/>
      </c>
      <c r="AH12" s="2">
        <f>CHOOSE(Inputs!$B$12,'S3_D1_Factory'!H9,'S3_D2_Factory'!H9,'S3_D3_Factory'!H9)</f>
        <v/>
      </c>
      <c r="AI12" s="2">
        <f>CHOOSE(Inputs!$B$12,'S3_D1_Factory'!I9,'S3_D2_Factory'!I9,'S3_D3_Factory'!I9)</f>
        <v/>
      </c>
      <c r="AJ12" s="2">
        <f>CHOOSE(Inputs!$B$12,'S3_D1_Factory'!J9,'S3_D2_Factory'!J9,'S3_D3_Factory'!J9)</f>
        <v/>
      </c>
      <c r="AK12" s="2">
        <f>CHOOSE(Inputs!$B$12,'S3_D1_Factory'!P9,'S3_D2_Factory'!P9,'S3_D3_Factory'!P9)</f>
        <v/>
      </c>
      <c r="AL12" s="2">
        <f>CHOOSE(Inputs!$B$12,'S3_D1_Factory'!K9,'S3_D2_Factory'!K9,'S3_D3_Factory'!K9)</f>
        <v/>
      </c>
      <c r="AM12" s="2">
        <f>CHOOSE(Inputs!$B$12,'S3_D1_Factory'!L9,'S3_D2_Factory'!L9,'S3_D3_Factory'!L9)</f>
        <v/>
      </c>
      <c r="AN12" s="2">
        <f>CHOOSE(Inputs!$B$12,'S3_D1_Factory'!M9,'S3_D2_Factory'!M9,'S3_D3_Factory'!M9)</f>
        <v/>
      </c>
      <c r="AO12" s="2">
        <f>CHOOSE(Inputs!$B$12,'S3_D1_Factory'!N9,'S3_D2_Factory'!N9,'S3_D3_Factory'!N9)</f>
        <v/>
      </c>
      <c r="AP12" s="2">
        <f>SUM(H12,R12,AB12,AL12)</f>
        <v/>
      </c>
      <c r="AQ12" s="2">
        <f>SUM(I12,S12,AC12,AM12)</f>
        <v/>
      </c>
      <c r="AR12" s="2">
        <f>SUM(J12,T12,AD12,AN12)</f>
        <v/>
      </c>
      <c r="AS12" s="2">
        <f>AS11+AR12</f>
        <v/>
      </c>
    </row>
    <row r="13">
      <c r="A13" s="2" t="n">
        <v>9</v>
      </c>
      <c r="B13" s="2">
        <f>CHOOSE(Inputs!$B$12,'S3_D1_Retailer'!C10,'S3_D2_Retailer'!C10,'S3_D3_Retailer'!C10)</f>
        <v/>
      </c>
      <c r="C13" s="2">
        <f>CHOOSE(Inputs!$B$12,'S3_D1_Retailer'!D10,'S3_D2_Retailer'!D10,'S3_D3_Retailer'!D10)</f>
        <v/>
      </c>
      <c r="D13" s="2">
        <f>CHOOSE(Inputs!$B$12,'S3_D1_Retailer'!H10,'S3_D2_Retailer'!H10,'S3_D3_Retailer'!H10)</f>
        <v/>
      </c>
      <c r="E13" s="2">
        <f>CHOOSE(Inputs!$B$12,'S3_D1_Retailer'!I10,'S3_D2_Retailer'!I10,'S3_D3_Retailer'!I10)</f>
        <v/>
      </c>
      <c r="F13" s="2">
        <f>CHOOSE(Inputs!$B$12,'S3_D1_Retailer'!J10,'S3_D2_Retailer'!J10,'S3_D3_Retailer'!J10)</f>
        <v/>
      </c>
      <c r="G13" s="2">
        <f>CHOOSE(Inputs!$B$12,'S3_D1_Retailer'!P10,'S3_D2_Retailer'!P10,'S3_D3_Retailer'!P10)</f>
        <v/>
      </c>
      <c r="H13" s="2">
        <f>CHOOSE(Inputs!$B$12,'S3_D1_Retailer'!K10,'S3_D2_Retailer'!K10,'S3_D3_Retailer'!K10)</f>
        <v/>
      </c>
      <c r="I13" s="2">
        <f>CHOOSE(Inputs!$B$12,'S3_D1_Retailer'!L10,'S3_D2_Retailer'!L10,'S3_D3_Retailer'!L10)</f>
        <v/>
      </c>
      <c r="J13" s="2">
        <f>CHOOSE(Inputs!$B$12,'S3_D1_Retailer'!M10,'S3_D2_Retailer'!M10,'S3_D3_Retailer'!M10)</f>
        <v/>
      </c>
      <c r="K13" s="2">
        <f>CHOOSE(Inputs!$B$12,'S3_D1_Retailer'!N10,'S3_D2_Retailer'!N10,'S3_D3_Retailer'!N10)</f>
        <v/>
      </c>
      <c r="L13" s="2">
        <f>CHOOSE(Inputs!$B$12,'S3_D1_Wholesaler'!C10,'S3_D2_Wholesaler'!C10,'S3_D3_Wholesaler'!C10)</f>
        <v/>
      </c>
      <c r="M13" s="2">
        <f>CHOOSE(Inputs!$B$12,'S3_D1_Wholesaler'!D10,'S3_D2_Wholesaler'!D10,'S3_D3_Wholesaler'!D10)</f>
        <v/>
      </c>
      <c r="N13" s="2">
        <f>CHOOSE(Inputs!$B$12,'S3_D1_Wholesaler'!H10,'S3_D2_Wholesaler'!H10,'S3_D3_Wholesaler'!H10)</f>
        <v/>
      </c>
      <c r="O13" s="2">
        <f>CHOOSE(Inputs!$B$12,'S3_D1_Wholesaler'!I10,'S3_D2_Wholesaler'!I10,'S3_D3_Wholesaler'!I10)</f>
        <v/>
      </c>
      <c r="P13" s="2">
        <f>CHOOSE(Inputs!$B$12,'S3_D1_Wholesaler'!J10,'S3_D2_Wholesaler'!J10,'S3_D3_Wholesaler'!J10)</f>
        <v/>
      </c>
      <c r="Q13" s="2">
        <f>CHOOSE(Inputs!$B$12,'S3_D1_Wholesaler'!P10,'S3_D2_Wholesaler'!P10,'S3_D3_Wholesaler'!P10)</f>
        <v/>
      </c>
      <c r="R13" s="2">
        <f>CHOOSE(Inputs!$B$12,'S3_D1_Wholesaler'!K10,'S3_D2_Wholesaler'!K10,'S3_D3_Wholesaler'!K10)</f>
        <v/>
      </c>
      <c r="S13" s="2">
        <f>CHOOSE(Inputs!$B$12,'S3_D1_Wholesaler'!L10,'S3_D2_Wholesaler'!L10,'S3_D3_Wholesaler'!L10)</f>
        <v/>
      </c>
      <c r="T13" s="2">
        <f>CHOOSE(Inputs!$B$12,'S3_D1_Wholesaler'!M10,'S3_D2_Wholesaler'!M10,'S3_D3_Wholesaler'!M10)</f>
        <v/>
      </c>
      <c r="U13" s="2">
        <f>CHOOSE(Inputs!$B$12,'S3_D1_Wholesaler'!N10,'S3_D2_Wholesaler'!N10,'S3_D3_Wholesaler'!N10)</f>
        <v/>
      </c>
      <c r="V13" s="2">
        <f>CHOOSE(Inputs!$B$12,'S3_D1_Distributor'!C10,'S3_D2_Distributor'!C10,'S3_D3_Distributor'!C10)</f>
        <v/>
      </c>
      <c r="W13" s="2">
        <f>CHOOSE(Inputs!$B$12,'S3_D1_Distributor'!D10,'S3_D2_Distributor'!D10,'S3_D3_Distributor'!D10)</f>
        <v/>
      </c>
      <c r="X13" s="2">
        <f>CHOOSE(Inputs!$B$12,'S3_D1_Distributor'!H10,'S3_D2_Distributor'!H10,'S3_D3_Distributor'!H10)</f>
        <v/>
      </c>
      <c r="Y13" s="2">
        <f>CHOOSE(Inputs!$B$12,'S3_D1_Distributor'!I10,'S3_D2_Distributor'!I10,'S3_D3_Distributor'!I10)</f>
        <v/>
      </c>
      <c r="Z13" s="2">
        <f>CHOOSE(Inputs!$B$12,'S3_D1_Distributor'!J10,'S3_D2_Distributor'!J10,'S3_D3_Distributor'!J10)</f>
        <v/>
      </c>
      <c r="AA13" s="2">
        <f>CHOOSE(Inputs!$B$12,'S3_D1_Distributor'!P10,'S3_D2_Distributor'!P10,'S3_D3_Distributor'!P10)</f>
        <v/>
      </c>
      <c r="AB13" s="2">
        <f>CHOOSE(Inputs!$B$12,'S3_D1_Distributor'!K10,'S3_D2_Distributor'!K10,'S3_D3_Distributor'!K10)</f>
        <v/>
      </c>
      <c r="AC13" s="2">
        <f>CHOOSE(Inputs!$B$12,'S3_D1_Distributor'!L10,'S3_D2_Distributor'!L10,'S3_D3_Distributor'!L10)</f>
        <v/>
      </c>
      <c r="AD13" s="2">
        <f>CHOOSE(Inputs!$B$12,'S3_D1_Distributor'!M10,'S3_D2_Distributor'!M10,'S3_D3_Distributor'!M10)</f>
        <v/>
      </c>
      <c r="AE13" s="2">
        <f>CHOOSE(Inputs!$B$12,'S3_D1_Distributor'!N10,'S3_D2_Distributor'!N10,'S3_D3_Distributor'!N10)</f>
        <v/>
      </c>
      <c r="AF13" s="2">
        <f>CHOOSE(Inputs!$B$12,'S3_D1_Factory'!C10,'S3_D2_Factory'!C10,'S3_D3_Factory'!C10)</f>
        <v/>
      </c>
      <c r="AG13" s="2">
        <f>CHOOSE(Inputs!$B$12,'S3_D1_Factory'!D10,'S3_D2_Factory'!D10,'S3_D3_Factory'!D10)</f>
        <v/>
      </c>
      <c r="AH13" s="2">
        <f>CHOOSE(Inputs!$B$12,'S3_D1_Factory'!H10,'S3_D2_Factory'!H10,'S3_D3_Factory'!H10)</f>
        <v/>
      </c>
      <c r="AI13" s="2">
        <f>CHOOSE(Inputs!$B$12,'S3_D1_Factory'!I10,'S3_D2_Factory'!I10,'S3_D3_Factory'!I10)</f>
        <v/>
      </c>
      <c r="AJ13" s="2">
        <f>CHOOSE(Inputs!$B$12,'S3_D1_Factory'!J10,'S3_D2_Factory'!J10,'S3_D3_Factory'!J10)</f>
        <v/>
      </c>
      <c r="AK13" s="2">
        <f>CHOOSE(Inputs!$B$12,'S3_D1_Factory'!P10,'S3_D2_Factory'!P10,'S3_D3_Factory'!P10)</f>
        <v/>
      </c>
      <c r="AL13" s="2">
        <f>CHOOSE(Inputs!$B$12,'S3_D1_Factory'!K10,'S3_D2_Factory'!K10,'S3_D3_Factory'!K10)</f>
        <v/>
      </c>
      <c r="AM13" s="2">
        <f>CHOOSE(Inputs!$B$12,'S3_D1_Factory'!L10,'S3_D2_Factory'!L10,'S3_D3_Factory'!L10)</f>
        <v/>
      </c>
      <c r="AN13" s="2">
        <f>CHOOSE(Inputs!$B$12,'S3_D1_Factory'!M10,'S3_D2_Factory'!M10,'S3_D3_Factory'!M10)</f>
        <v/>
      </c>
      <c r="AO13" s="2">
        <f>CHOOSE(Inputs!$B$12,'S3_D1_Factory'!N10,'S3_D2_Factory'!N10,'S3_D3_Factory'!N10)</f>
        <v/>
      </c>
      <c r="AP13" s="2">
        <f>SUM(H13,R13,AB13,AL13)</f>
        <v/>
      </c>
      <c r="AQ13" s="2">
        <f>SUM(I13,S13,AC13,AM13)</f>
        <v/>
      </c>
      <c r="AR13" s="2">
        <f>SUM(J13,T13,AD13,AN13)</f>
        <v/>
      </c>
      <c r="AS13" s="2">
        <f>AS12+AR13</f>
        <v/>
      </c>
    </row>
    <row r="14">
      <c r="A14" s="2" t="n">
        <v>10</v>
      </c>
      <c r="B14" s="2">
        <f>CHOOSE(Inputs!$B$12,'S3_D1_Retailer'!C11,'S3_D2_Retailer'!C11,'S3_D3_Retailer'!C11)</f>
        <v/>
      </c>
      <c r="C14" s="2">
        <f>CHOOSE(Inputs!$B$12,'S3_D1_Retailer'!D11,'S3_D2_Retailer'!D11,'S3_D3_Retailer'!D11)</f>
        <v/>
      </c>
      <c r="D14" s="2">
        <f>CHOOSE(Inputs!$B$12,'S3_D1_Retailer'!H11,'S3_D2_Retailer'!H11,'S3_D3_Retailer'!H11)</f>
        <v/>
      </c>
      <c r="E14" s="2">
        <f>CHOOSE(Inputs!$B$12,'S3_D1_Retailer'!I11,'S3_D2_Retailer'!I11,'S3_D3_Retailer'!I11)</f>
        <v/>
      </c>
      <c r="F14" s="2">
        <f>CHOOSE(Inputs!$B$12,'S3_D1_Retailer'!J11,'S3_D2_Retailer'!J11,'S3_D3_Retailer'!J11)</f>
        <v/>
      </c>
      <c r="G14" s="2">
        <f>CHOOSE(Inputs!$B$12,'S3_D1_Retailer'!P11,'S3_D2_Retailer'!P11,'S3_D3_Retailer'!P11)</f>
        <v/>
      </c>
      <c r="H14" s="2">
        <f>CHOOSE(Inputs!$B$12,'S3_D1_Retailer'!K11,'S3_D2_Retailer'!K11,'S3_D3_Retailer'!K11)</f>
        <v/>
      </c>
      <c r="I14" s="2">
        <f>CHOOSE(Inputs!$B$12,'S3_D1_Retailer'!L11,'S3_D2_Retailer'!L11,'S3_D3_Retailer'!L11)</f>
        <v/>
      </c>
      <c r="J14" s="2">
        <f>CHOOSE(Inputs!$B$12,'S3_D1_Retailer'!M11,'S3_D2_Retailer'!M11,'S3_D3_Retailer'!M11)</f>
        <v/>
      </c>
      <c r="K14" s="2">
        <f>CHOOSE(Inputs!$B$12,'S3_D1_Retailer'!N11,'S3_D2_Retailer'!N11,'S3_D3_Retailer'!N11)</f>
        <v/>
      </c>
      <c r="L14" s="2">
        <f>CHOOSE(Inputs!$B$12,'S3_D1_Wholesaler'!C11,'S3_D2_Wholesaler'!C11,'S3_D3_Wholesaler'!C11)</f>
        <v/>
      </c>
      <c r="M14" s="2">
        <f>CHOOSE(Inputs!$B$12,'S3_D1_Wholesaler'!D11,'S3_D2_Wholesaler'!D11,'S3_D3_Wholesaler'!D11)</f>
        <v/>
      </c>
      <c r="N14" s="2">
        <f>CHOOSE(Inputs!$B$12,'S3_D1_Wholesaler'!H11,'S3_D2_Wholesaler'!H11,'S3_D3_Wholesaler'!H11)</f>
        <v/>
      </c>
      <c r="O14" s="2">
        <f>CHOOSE(Inputs!$B$12,'S3_D1_Wholesaler'!I11,'S3_D2_Wholesaler'!I11,'S3_D3_Wholesaler'!I11)</f>
        <v/>
      </c>
      <c r="P14" s="2">
        <f>CHOOSE(Inputs!$B$12,'S3_D1_Wholesaler'!J11,'S3_D2_Wholesaler'!J11,'S3_D3_Wholesaler'!J11)</f>
        <v/>
      </c>
      <c r="Q14" s="2">
        <f>CHOOSE(Inputs!$B$12,'S3_D1_Wholesaler'!P11,'S3_D2_Wholesaler'!P11,'S3_D3_Wholesaler'!P11)</f>
        <v/>
      </c>
      <c r="R14" s="2">
        <f>CHOOSE(Inputs!$B$12,'S3_D1_Wholesaler'!K11,'S3_D2_Wholesaler'!K11,'S3_D3_Wholesaler'!K11)</f>
        <v/>
      </c>
      <c r="S14" s="2">
        <f>CHOOSE(Inputs!$B$12,'S3_D1_Wholesaler'!L11,'S3_D2_Wholesaler'!L11,'S3_D3_Wholesaler'!L11)</f>
        <v/>
      </c>
      <c r="T14" s="2">
        <f>CHOOSE(Inputs!$B$12,'S3_D1_Wholesaler'!M11,'S3_D2_Wholesaler'!M11,'S3_D3_Wholesaler'!M11)</f>
        <v/>
      </c>
      <c r="U14" s="2">
        <f>CHOOSE(Inputs!$B$12,'S3_D1_Wholesaler'!N11,'S3_D2_Wholesaler'!N11,'S3_D3_Wholesaler'!N11)</f>
        <v/>
      </c>
      <c r="V14" s="2">
        <f>CHOOSE(Inputs!$B$12,'S3_D1_Distributor'!C11,'S3_D2_Distributor'!C11,'S3_D3_Distributor'!C11)</f>
        <v/>
      </c>
      <c r="W14" s="2">
        <f>CHOOSE(Inputs!$B$12,'S3_D1_Distributor'!D11,'S3_D2_Distributor'!D11,'S3_D3_Distributor'!D11)</f>
        <v/>
      </c>
      <c r="X14" s="2">
        <f>CHOOSE(Inputs!$B$12,'S3_D1_Distributor'!H11,'S3_D2_Distributor'!H11,'S3_D3_Distributor'!H11)</f>
        <v/>
      </c>
      <c r="Y14" s="2">
        <f>CHOOSE(Inputs!$B$12,'S3_D1_Distributor'!I11,'S3_D2_Distributor'!I11,'S3_D3_Distributor'!I11)</f>
        <v/>
      </c>
      <c r="Z14" s="2">
        <f>CHOOSE(Inputs!$B$12,'S3_D1_Distributor'!J11,'S3_D2_Distributor'!J11,'S3_D3_Distributor'!J11)</f>
        <v/>
      </c>
      <c r="AA14" s="2">
        <f>CHOOSE(Inputs!$B$12,'S3_D1_Distributor'!P11,'S3_D2_Distributor'!P11,'S3_D3_Distributor'!P11)</f>
        <v/>
      </c>
      <c r="AB14" s="2">
        <f>CHOOSE(Inputs!$B$12,'S3_D1_Distributor'!K11,'S3_D2_Distributor'!K11,'S3_D3_Distributor'!K11)</f>
        <v/>
      </c>
      <c r="AC14" s="2">
        <f>CHOOSE(Inputs!$B$12,'S3_D1_Distributor'!L11,'S3_D2_Distributor'!L11,'S3_D3_Distributor'!L11)</f>
        <v/>
      </c>
      <c r="AD14" s="2">
        <f>CHOOSE(Inputs!$B$12,'S3_D1_Distributor'!M11,'S3_D2_Distributor'!M11,'S3_D3_Distributor'!M11)</f>
        <v/>
      </c>
      <c r="AE14" s="2">
        <f>CHOOSE(Inputs!$B$12,'S3_D1_Distributor'!N11,'S3_D2_Distributor'!N11,'S3_D3_Distributor'!N11)</f>
        <v/>
      </c>
      <c r="AF14" s="2">
        <f>CHOOSE(Inputs!$B$12,'S3_D1_Factory'!C11,'S3_D2_Factory'!C11,'S3_D3_Factory'!C11)</f>
        <v/>
      </c>
      <c r="AG14" s="2">
        <f>CHOOSE(Inputs!$B$12,'S3_D1_Factory'!D11,'S3_D2_Factory'!D11,'S3_D3_Factory'!D11)</f>
        <v/>
      </c>
      <c r="AH14" s="2">
        <f>CHOOSE(Inputs!$B$12,'S3_D1_Factory'!H11,'S3_D2_Factory'!H11,'S3_D3_Factory'!H11)</f>
        <v/>
      </c>
      <c r="AI14" s="2">
        <f>CHOOSE(Inputs!$B$12,'S3_D1_Factory'!I11,'S3_D2_Factory'!I11,'S3_D3_Factory'!I11)</f>
        <v/>
      </c>
      <c r="AJ14" s="2">
        <f>CHOOSE(Inputs!$B$12,'S3_D1_Factory'!J11,'S3_D2_Factory'!J11,'S3_D3_Factory'!J11)</f>
        <v/>
      </c>
      <c r="AK14" s="2">
        <f>CHOOSE(Inputs!$B$12,'S3_D1_Factory'!P11,'S3_D2_Factory'!P11,'S3_D3_Factory'!P11)</f>
        <v/>
      </c>
      <c r="AL14" s="2">
        <f>CHOOSE(Inputs!$B$12,'S3_D1_Factory'!K11,'S3_D2_Factory'!K11,'S3_D3_Factory'!K11)</f>
        <v/>
      </c>
      <c r="AM14" s="2">
        <f>CHOOSE(Inputs!$B$12,'S3_D1_Factory'!L11,'S3_D2_Factory'!L11,'S3_D3_Factory'!L11)</f>
        <v/>
      </c>
      <c r="AN14" s="2">
        <f>CHOOSE(Inputs!$B$12,'S3_D1_Factory'!M11,'S3_D2_Factory'!M11,'S3_D3_Factory'!M11)</f>
        <v/>
      </c>
      <c r="AO14" s="2">
        <f>CHOOSE(Inputs!$B$12,'S3_D1_Factory'!N11,'S3_D2_Factory'!N11,'S3_D3_Factory'!N11)</f>
        <v/>
      </c>
      <c r="AP14" s="2">
        <f>SUM(H14,R14,AB14,AL14)</f>
        <v/>
      </c>
      <c r="AQ14" s="2">
        <f>SUM(I14,S14,AC14,AM14)</f>
        <v/>
      </c>
      <c r="AR14" s="2">
        <f>SUM(J14,T14,AD14,AN14)</f>
        <v/>
      </c>
      <c r="AS14" s="2">
        <f>AS13+AR14</f>
        <v/>
      </c>
    </row>
    <row r="15">
      <c r="A15" s="2" t="n">
        <v>11</v>
      </c>
      <c r="B15" s="2">
        <f>CHOOSE(Inputs!$B$12,'S3_D1_Retailer'!C12,'S3_D2_Retailer'!C12,'S3_D3_Retailer'!C12)</f>
        <v/>
      </c>
      <c r="C15" s="2">
        <f>CHOOSE(Inputs!$B$12,'S3_D1_Retailer'!D12,'S3_D2_Retailer'!D12,'S3_D3_Retailer'!D12)</f>
        <v/>
      </c>
      <c r="D15" s="2">
        <f>CHOOSE(Inputs!$B$12,'S3_D1_Retailer'!H12,'S3_D2_Retailer'!H12,'S3_D3_Retailer'!H12)</f>
        <v/>
      </c>
      <c r="E15" s="2">
        <f>CHOOSE(Inputs!$B$12,'S3_D1_Retailer'!I12,'S3_D2_Retailer'!I12,'S3_D3_Retailer'!I12)</f>
        <v/>
      </c>
      <c r="F15" s="2">
        <f>CHOOSE(Inputs!$B$12,'S3_D1_Retailer'!J12,'S3_D2_Retailer'!J12,'S3_D3_Retailer'!J12)</f>
        <v/>
      </c>
      <c r="G15" s="2">
        <f>CHOOSE(Inputs!$B$12,'S3_D1_Retailer'!P12,'S3_D2_Retailer'!P12,'S3_D3_Retailer'!P12)</f>
        <v/>
      </c>
      <c r="H15" s="2">
        <f>CHOOSE(Inputs!$B$12,'S3_D1_Retailer'!K12,'S3_D2_Retailer'!K12,'S3_D3_Retailer'!K12)</f>
        <v/>
      </c>
      <c r="I15" s="2">
        <f>CHOOSE(Inputs!$B$12,'S3_D1_Retailer'!L12,'S3_D2_Retailer'!L12,'S3_D3_Retailer'!L12)</f>
        <v/>
      </c>
      <c r="J15" s="2">
        <f>CHOOSE(Inputs!$B$12,'S3_D1_Retailer'!M12,'S3_D2_Retailer'!M12,'S3_D3_Retailer'!M12)</f>
        <v/>
      </c>
      <c r="K15" s="2">
        <f>CHOOSE(Inputs!$B$12,'S3_D1_Retailer'!N12,'S3_D2_Retailer'!N12,'S3_D3_Retailer'!N12)</f>
        <v/>
      </c>
      <c r="L15" s="2">
        <f>CHOOSE(Inputs!$B$12,'S3_D1_Wholesaler'!C12,'S3_D2_Wholesaler'!C12,'S3_D3_Wholesaler'!C12)</f>
        <v/>
      </c>
      <c r="M15" s="2">
        <f>CHOOSE(Inputs!$B$12,'S3_D1_Wholesaler'!D12,'S3_D2_Wholesaler'!D12,'S3_D3_Wholesaler'!D12)</f>
        <v/>
      </c>
      <c r="N15" s="2">
        <f>CHOOSE(Inputs!$B$12,'S3_D1_Wholesaler'!H12,'S3_D2_Wholesaler'!H12,'S3_D3_Wholesaler'!H12)</f>
        <v/>
      </c>
      <c r="O15" s="2">
        <f>CHOOSE(Inputs!$B$12,'S3_D1_Wholesaler'!I12,'S3_D2_Wholesaler'!I12,'S3_D3_Wholesaler'!I12)</f>
        <v/>
      </c>
      <c r="P15" s="2">
        <f>CHOOSE(Inputs!$B$12,'S3_D1_Wholesaler'!J12,'S3_D2_Wholesaler'!J12,'S3_D3_Wholesaler'!J12)</f>
        <v/>
      </c>
      <c r="Q15" s="2">
        <f>CHOOSE(Inputs!$B$12,'S3_D1_Wholesaler'!P12,'S3_D2_Wholesaler'!P12,'S3_D3_Wholesaler'!P12)</f>
        <v/>
      </c>
      <c r="R15" s="2">
        <f>CHOOSE(Inputs!$B$12,'S3_D1_Wholesaler'!K12,'S3_D2_Wholesaler'!K12,'S3_D3_Wholesaler'!K12)</f>
        <v/>
      </c>
      <c r="S15" s="2">
        <f>CHOOSE(Inputs!$B$12,'S3_D1_Wholesaler'!L12,'S3_D2_Wholesaler'!L12,'S3_D3_Wholesaler'!L12)</f>
        <v/>
      </c>
      <c r="T15" s="2">
        <f>CHOOSE(Inputs!$B$12,'S3_D1_Wholesaler'!M12,'S3_D2_Wholesaler'!M12,'S3_D3_Wholesaler'!M12)</f>
        <v/>
      </c>
      <c r="U15" s="2">
        <f>CHOOSE(Inputs!$B$12,'S3_D1_Wholesaler'!N12,'S3_D2_Wholesaler'!N12,'S3_D3_Wholesaler'!N12)</f>
        <v/>
      </c>
      <c r="V15" s="2">
        <f>CHOOSE(Inputs!$B$12,'S3_D1_Distributor'!C12,'S3_D2_Distributor'!C12,'S3_D3_Distributor'!C12)</f>
        <v/>
      </c>
      <c r="W15" s="2">
        <f>CHOOSE(Inputs!$B$12,'S3_D1_Distributor'!D12,'S3_D2_Distributor'!D12,'S3_D3_Distributor'!D12)</f>
        <v/>
      </c>
      <c r="X15" s="2">
        <f>CHOOSE(Inputs!$B$12,'S3_D1_Distributor'!H12,'S3_D2_Distributor'!H12,'S3_D3_Distributor'!H12)</f>
        <v/>
      </c>
      <c r="Y15" s="2">
        <f>CHOOSE(Inputs!$B$12,'S3_D1_Distributor'!I12,'S3_D2_Distributor'!I12,'S3_D3_Distributor'!I12)</f>
        <v/>
      </c>
      <c r="Z15" s="2">
        <f>CHOOSE(Inputs!$B$12,'S3_D1_Distributor'!J12,'S3_D2_Distributor'!J12,'S3_D3_Distributor'!J12)</f>
        <v/>
      </c>
      <c r="AA15" s="2">
        <f>CHOOSE(Inputs!$B$12,'S3_D1_Distributor'!P12,'S3_D2_Distributor'!P12,'S3_D3_Distributor'!P12)</f>
        <v/>
      </c>
      <c r="AB15" s="2">
        <f>CHOOSE(Inputs!$B$12,'S3_D1_Distributor'!K12,'S3_D2_Distributor'!K12,'S3_D3_Distributor'!K12)</f>
        <v/>
      </c>
      <c r="AC15" s="2">
        <f>CHOOSE(Inputs!$B$12,'S3_D1_Distributor'!L12,'S3_D2_Distributor'!L12,'S3_D3_Distributor'!L12)</f>
        <v/>
      </c>
      <c r="AD15" s="2">
        <f>CHOOSE(Inputs!$B$12,'S3_D1_Distributor'!M12,'S3_D2_Distributor'!M12,'S3_D3_Distributor'!M12)</f>
        <v/>
      </c>
      <c r="AE15" s="2">
        <f>CHOOSE(Inputs!$B$12,'S3_D1_Distributor'!N12,'S3_D2_Distributor'!N12,'S3_D3_Distributor'!N12)</f>
        <v/>
      </c>
      <c r="AF15" s="2">
        <f>CHOOSE(Inputs!$B$12,'S3_D1_Factory'!C12,'S3_D2_Factory'!C12,'S3_D3_Factory'!C12)</f>
        <v/>
      </c>
      <c r="AG15" s="2">
        <f>CHOOSE(Inputs!$B$12,'S3_D1_Factory'!D12,'S3_D2_Factory'!D12,'S3_D3_Factory'!D12)</f>
        <v/>
      </c>
      <c r="AH15" s="2">
        <f>CHOOSE(Inputs!$B$12,'S3_D1_Factory'!H12,'S3_D2_Factory'!H12,'S3_D3_Factory'!H12)</f>
        <v/>
      </c>
      <c r="AI15" s="2">
        <f>CHOOSE(Inputs!$B$12,'S3_D1_Factory'!I12,'S3_D2_Factory'!I12,'S3_D3_Factory'!I12)</f>
        <v/>
      </c>
      <c r="AJ15" s="2">
        <f>CHOOSE(Inputs!$B$12,'S3_D1_Factory'!J12,'S3_D2_Factory'!J12,'S3_D3_Factory'!J12)</f>
        <v/>
      </c>
      <c r="AK15" s="2">
        <f>CHOOSE(Inputs!$B$12,'S3_D1_Factory'!P12,'S3_D2_Factory'!P12,'S3_D3_Factory'!P12)</f>
        <v/>
      </c>
      <c r="AL15" s="2">
        <f>CHOOSE(Inputs!$B$12,'S3_D1_Factory'!K12,'S3_D2_Factory'!K12,'S3_D3_Factory'!K12)</f>
        <v/>
      </c>
      <c r="AM15" s="2">
        <f>CHOOSE(Inputs!$B$12,'S3_D1_Factory'!L12,'S3_D2_Factory'!L12,'S3_D3_Factory'!L12)</f>
        <v/>
      </c>
      <c r="AN15" s="2">
        <f>CHOOSE(Inputs!$B$12,'S3_D1_Factory'!M12,'S3_D2_Factory'!M12,'S3_D3_Factory'!M12)</f>
        <v/>
      </c>
      <c r="AO15" s="2">
        <f>CHOOSE(Inputs!$B$12,'S3_D1_Factory'!N12,'S3_D2_Factory'!N12,'S3_D3_Factory'!N12)</f>
        <v/>
      </c>
      <c r="AP15" s="2">
        <f>SUM(H15,R15,AB15,AL15)</f>
        <v/>
      </c>
      <c r="AQ15" s="2">
        <f>SUM(I15,S15,AC15,AM15)</f>
        <v/>
      </c>
      <c r="AR15" s="2">
        <f>SUM(J15,T15,AD15,AN15)</f>
        <v/>
      </c>
      <c r="AS15" s="2">
        <f>AS14+AR15</f>
        <v/>
      </c>
    </row>
    <row r="16">
      <c r="A16" s="2" t="n">
        <v>12</v>
      </c>
      <c r="B16" s="2">
        <f>CHOOSE(Inputs!$B$12,'S3_D1_Retailer'!C13,'S3_D2_Retailer'!C13,'S3_D3_Retailer'!C13)</f>
        <v/>
      </c>
      <c r="C16" s="2">
        <f>CHOOSE(Inputs!$B$12,'S3_D1_Retailer'!D13,'S3_D2_Retailer'!D13,'S3_D3_Retailer'!D13)</f>
        <v/>
      </c>
      <c r="D16" s="2">
        <f>CHOOSE(Inputs!$B$12,'S3_D1_Retailer'!H13,'S3_D2_Retailer'!H13,'S3_D3_Retailer'!H13)</f>
        <v/>
      </c>
      <c r="E16" s="2">
        <f>CHOOSE(Inputs!$B$12,'S3_D1_Retailer'!I13,'S3_D2_Retailer'!I13,'S3_D3_Retailer'!I13)</f>
        <v/>
      </c>
      <c r="F16" s="2">
        <f>CHOOSE(Inputs!$B$12,'S3_D1_Retailer'!J13,'S3_D2_Retailer'!J13,'S3_D3_Retailer'!J13)</f>
        <v/>
      </c>
      <c r="G16" s="2">
        <f>CHOOSE(Inputs!$B$12,'S3_D1_Retailer'!P13,'S3_D2_Retailer'!P13,'S3_D3_Retailer'!P13)</f>
        <v/>
      </c>
      <c r="H16" s="2">
        <f>CHOOSE(Inputs!$B$12,'S3_D1_Retailer'!K13,'S3_D2_Retailer'!K13,'S3_D3_Retailer'!K13)</f>
        <v/>
      </c>
      <c r="I16" s="2">
        <f>CHOOSE(Inputs!$B$12,'S3_D1_Retailer'!L13,'S3_D2_Retailer'!L13,'S3_D3_Retailer'!L13)</f>
        <v/>
      </c>
      <c r="J16" s="2">
        <f>CHOOSE(Inputs!$B$12,'S3_D1_Retailer'!M13,'S3_D2_Retailer'!M13,'S3_D3_Retailer'!M13)</f>
        <v/>
      </c>
      <c r="K16" s="2">
        <f>CHOOSE(Inputs!$B$12,'S3_D1_Retailer'!N13,'S3_D2_Retailer'!N13,'S3_D3_Retailer'!N13)</f>
        <v/>
      </c>
      <c r="L16" s="2">
        <f>CHOOSE(Inputs!$B$12,'S3_D1_Wholesaler'!C13,'S3_D2_Wholesaler'!C13,'S3_D3_Wholesaler'!C13)</f>
        <v/>
      </c>
      <c r="M16" s="2">
        <f>CHOOSE(Inputs!$B$12,'S3_D1_Wholesaler'!D13,'S3_D2_Wholesaler'!D13,'S3_D3_Wholesaler'!D13)</f>
        <v/>
      </c>
      <c r="N16" s="2">
        <f>CHOOSE(Inputs!$B$12,'S3_D1_Wholesaler'!H13,'S3_D2_Wholesaler'!H13,'S3_D3_Wholesaler'!H13)</f>
        <v/>
      </c>
      <c r="O16" s="2">
        <f>CHOOSE(Inputs!$B$12,'S3_D1_Wholesaler'!I13,'S3_D2_Wholesaler'!I13,'S3_D3_Wholesaler'!I13)</f>
        <v/>
      </c>
      <c r="P16" s="2">
        <f>CHOOSE(Inputs!$B$12,'S3_D1_Wholesaler'!J13,'S3_D2_Wholesaler'!J13,'S3_D3_Wholesaler'!J13)</f>
        <v/>
      </c>
      <c r="Q16" s="2">
        <f>CHOOSE(Inputs!$B$12,'S3_D1_Wholesaler'!P13,'S3_D2_Wholesaler'!P13,'S3_D3_Wholesaler'!P13)</f>
        <v/>
      </c>
      <c r="R16" s="2">
        <f>CHOOSE(Inputs!$B$12,'S3_D1_Wholesaler'!K13,'S3_D2_Wholesaler'!K13,'S3_D3_Wholesaler'!K13)</f>
        <v/>
      </c>
      <c r="S16" s="2">
        <f>CHOOSE(Inputs!$B$12,'S3_D1_Wholesaler'!L13,'S3_D2_Wholesaler'!L13,'S3_D3_Wholesaler'!L13)</f>
        <v/>
      </c>
      <c r="T16" s="2">
        <f>CHOOSE(Inputs!$B$12,'S3_D1_Wholesaler'!M13,'S3_D2_Wholesaler'!M13,'S3_D3_Wholesaler'!M13)</f>
        <v/>
      </c>
      <c r="U16" s="2">
        <f>CHOOSE(Inputs!$B$12,'S3_D1_Wholesaler'!N13,'S3_D2_Wholesaler'!N13,'S3_D3_Wholesaler'!N13)</f>
        <v/>
      </c>
      <c r="V16" s="2">
        <f>CHOOSE(Inputs!$B$12,'S3_D1_Distributor'!C13,'S3_D2_Distributor'!C13,'S3_D3_Distributor'!C13)</f>
        <v/>
      </c>
      <c r="W16" s="2">
        <f>CHOOSE(Inputs!$B$12,'S3_D1_Distributor'!D13,'S3_D2_Distributor'!D13,'S3_D3_Distributor'!D13)</f>
        <v/>
      </c>
      <c r="X16" s="2">
        <f>CHOOSE(Inputs!$B$12,'S3_D1_Distributor'!H13,'S3_D2_Distributor'!H13,'S3_D3_Distributor'!H13)</f>
        <v/>
      </c>
      <c r="Y16" s="2">
        <f>CHOOSE(Inputs!$B$12,'S3_D1_Distributor'!I13,'S3_D2_Distributor'!I13,'S3_D3_Distributor'!I13)</f>
        <v/>
      </c>
      <c r="Z16" s="2">
        <f>CHOOSE(Inputs!$B$12,'S3_D1_Distributor'!J13,'S3_D2_Distributor'!J13,'S3_D3_Distributor'!J13)</f>
        <v/>
      </c>
      <c r="AA16" s="2">
        <f>CHOOSE(Inputs!$B$12,'S3_D1_Distributor'!P13,'S3_D2_Distributor'!P13,'S3_D3_Distributor'!P13)</f>
        <v/>
      </c>
      <c r="AB16" s="2">
        <f>CHOOSE(Inputs!$B$12,'S3_D1_Distributor'!K13,'S3_D2_Distributor'!K13,'S3_D3_Distributor'!K13)</f>
        <v/>
      </c>
      <c r="AC16" s="2">
        <f>CHOOSE(Inputs!$B$12,'S3_D1_Distributor'!L13,'S3_D2_Distributor'!L13,'S3_D3_Distributor'!L13)</f>
        <v/>
      </c>
      <c r="AD16" s="2">
        <f>CHOOSE(Inputs!$B$12,'S3_D1_Distributor'!M13,'S3_D2_Distributor'!M13,'S3_D3_Distributor'!M13)</f>
        <v/>
      </c>
      <c r="AE16" s="2">
        <f>CHOOSE(Inputs!$B$12,'S3_D1_Distributor'!N13,'S3_D2_Distributor'!N13,'S3_D3_Distributor'!N13)</f>
        <v/>
      </c>
      <c r="AF16" s="2">
        <f>CHOOSE(Inputs!$B$12,'S3_D1_Factory'!C13,'S3_D2_Factory'!C13,'S3_D3_Factory'!C13)</f>
        <v/>
      </c>
      <c r="AG16" s="2">
        <f>CHOOSE(Inputs!$B$12,'S3_D1_Factory'!D13,'S3_D2_Factory'!D13,'S3_D3_Factory'!D13)</f>
        <v/>
      </c>
      <c r="AH16" s="2">
        <f>CHOOSE(Inputs!$B$12,'S3_D1_Factory'!H13,'S3_D2_Factory'!H13,'S3_D3_Factory'!H13)</f>
        <v/>
      </c>
      <c r="AI16" s="2">
        <f>CHOOSE(Inputs!$B$12,'S3_D1_Factory'!I13,'S3_D2_Factory'!I13,'S3_D3_Factory'!I13)</f>
        <v/>
      </c>
      <c r="AJ16" s="2">
        <f>CHOOSE(Inputs!$B$12,'S3_D1_Factory'!J13,'S3_D2_Factory'!J13,'S3_D3_Factory'!J13)</f>
        <v/>
      </c>
      <c r="AK16" s="2">
        <f>CHOOSE(Inputs!$B$12,'S3_D1_Factory'!P13,'S3_D2_Factory'!P13,'S3_D3_Factory'!P13)</f>
        <v/>
      </c>
      <c r="AL16" s="2">
        <f>CHOOSE(Inputs!$B$12,'S3_D1_Factory'!K13,'S3_D2_Factory'!K13,'S3_D3_Factory'!K13)</f>
        <v/>
      </c>
      <c r="AM16" s="2">
        <f>CHOOSE(Inputs!$B$12,'S3_D1_Factory'!L13,'S3_D2_Factory'!L13,'S3_D3_Factory'!L13)</f>
        <v/>
      </c>
      <c r="AN16" s="2">
        <f>CHOOSE(Inputs!$B$12,'S3_D1_Factory'!M13,'S3_D2_Factory'!M13,'S3_D3_Factory'!M13)</f>
        <v/>
      </c>
      <c r="AO16" s="2">
        <f>CHOOSE(Inputs!$B$12,'S3_D1_Factory'!N13,'S3_D2_Factory'!N13,'S3_D3_Factory'!N13)</f>
        <v/>
      </c>
      <c r="AP16" s="2">
        <f>SUM(H16,R16,AB16,AL16)</f>
        <v/>
      </c>
      <c r="AQ16" s="2">
        <f>SUM(I16,S16,AC16,AM16)</f>
        <v/>
      </c>
      <c r="AR16" s="2">
        <f>SUM(J16,T16,AD16,AN16)</f>
        <v/>
      </c>
      <c r="AS16" s="2">
        <f>AS15+AR16</f>
        <v/>
      </c>
    </row>
    <row r="17">
      <c r="A17" s="2" t="n">
        <v>13</v>
      </c>
      <c r="B17" s="2">
        <f>CHOOSE(Inputs!$B$12,'S3_D1_Retailer'!C14,'S3_D2_Retailer'!C14,'S3_D3_Retailer'!C14)</f>
        <v/>
      </c>
      <c r="C17" s="2">
        <f>CHOOSE(Inputs!$B$12,'S3_D1_Retailer'!D14,'S3_D2_Retailer'!D14,'S3_D3_Retailer'!D14)</f>
        <v/>
      </c>
      <c r="D17" s="2">
        <f>CHOOSE(Inputs!$B$12,'S3_D1_Retailer'!H14,'S3_D2_Retailer'!H14,'S3_D3_Retailer'!H14)</f>
        <v/>
      </c>
      <c r="E17" s="2">
        <f>CHOOSE(Inputs!$B$12,'S3_D1_Retailer'!I14,'S3_D2_Retailer'!I14,'S3_D3_Retailer'!I14)</f>
        <v/>
      </c>
      <c r="F17" s="2">
        <f>CHOOSE(Inputs!$B$12,'S3_D1_Retailer'!J14,'S3_D2_Retailer'!J14,'S3_D3_Retailer'!J14)</f>
        <v/>
      </c>
      <c r="G17" s="2">
        <f>CHOOSE(Inputs!$B$12,'S3_D1_Retailer'!P14,'S3_D2_Retailer'!P14,'S3_D3_Retailer'!P14)</f>
        <v/>
      </c>
      <c r="H17" s="2">
        <f>CHOOSE(Inputs!$B$12,'S3_D1_Retailer'!K14,'S3_D2_Retailer'!K14,'S3_D3_Retailer'!K14)</f>
        <v/>
      </c>
      <c r="I17" s="2">
        <f>CHOOSE(Inputs!$B$12,'S3_D1_Retailer'!L14,'S3_D2_Retailer'!L14,'S3_D3_Retailer'!L14)</f>
        <v/>
      </c>
      <c r="J17" s="2">
        <f>CHOOSE(Inputs!$B$12,'S3_D1_Retailer'!M14,'S3_D2_Retailer'!M14,'S3_D3_Retailer'!M14)</f>
        <v/>
      </c>
      <c r="K17" s="2">
        <f>CHOOSE(Inputs!$B$12,'S3_D1_Retailer'!N14,'S3_D2_Retailer'!N14,'S3_D3_Retailer'!N14)</f>
        <v/>
      </c>
      <c r="L17" s="2">
        <f>CHOOSE(Inputs!$B$12,'S3_D1_Wholesaler'!C14,'S3_D2_Wholesaler'!C14,'S3_D3_Wholesaler'!C14)</f>
        <v/>
      </c>
      <c r="M17" s="2">
        <f>CHOOSE(Inputs!$B$12,'S3_D1_Wholesaler'!D14,'S3_D2_Wholesaler'!D14,'S3_D3_Wholesaler'!D14)</f>
        <v/>
      </c>
      <c r="N17" s="2">
        <f>CHOOSE(Inputs!$B$12,'S3_D1_Wholesaler'!H14,'S3_D2_Wholesaler'!H14,'S3_D3_Wholesaler'!H14)</f>
        <v/>
      </c>
      <c r="O17" s="2">
        <f>CHOOSE(Inputs!$B$12,'S3_D1_Wholesaler'!I14,'S3_D2_Wholesaler'!I14,'S3_D3_Wholesaler'!I14)</f>
        <v/>
      </c>
      <c r="P17" s="2">
        <f>CHOOSE(Inputs!$B$12,'S3_D1_Wholesaler'!J14,'S3_D2_Wholesaler'!J14,'S3_D3_Wholesaler'!J14)</f>
        <v/>
      </c>
      <c r="Q17" s="2">
        <f>CHOOSE(Inputs!$B$12,'S3_D1_Wholesaler'!P14,'S3_D2_Wholesaler'!P14,'S3_D3_Wholesaler'!P14)</f>
        <v/>
      </c>
      <c r="R17" s="2">
        <f>CHOOSE(Inputs!$B$12,'S3_D1_Wholesaler'!K14,'S3_D2_Wholesaler'!K14,'S3_D3_Wholesaler'!K14)</f>
        <v/>
      </c>
      <c r="S17" s="2">
        <f>CHOOSE(Inputs!$B$12,'S3_D1_Wholesaler'!L14,'S3_D2_Wholesaler'!L14,'S3_D3_Wholesaler'!L14)</f>
        <v/>
      </c>
      <c r="T17" s="2">
        <f>CHOOSE(Inputs!$B$12,'S3_D1_Wholesaler'!M14,'S3_D2_Wholesaler'!M14,'S3_D3_Wholesaler'!M14)</f>
        <v/>
      </c>
      <c r="U17" s="2">
        <f>CHOOSE(Inputs!$B$12,'S3_D1_Wholesaler'!N14,'S3_D2_Wholesaler'!N14,'S3_D3_Wholesaler'!N14)</f>
        <v/>
      </c>
      <c r="V17" s="2">
        <f>CHOOSE(Inputs!$B$12,'S3_D1_Distributor'!C14,'S3_D2_Distributor'!C14,'S3_D3_Distributor'!C14)</f>
        <v/>
      </c>
      <c r="W17" s="2">
        <f>CHOOSE(Inputs!$B$12,'S3_D1_Distributor'!D14,'S3_D2_Distributor'!D14,'S3_D3_Distributor'!D14)</f>
        <v/>
      </c>
      <c r="X17" s="2">
        <f>CHOOSE(Inputs!$B$12,'S3_D1_Distributor'!H14,'S3_D2_Distributor'!H14,'S3_D3_Distributor'!H14)</f>
        <v/>
      </c>
      <c r="Y17" s="2">
        <f>CHOOSE(Inputs!$B$12,'S3_D1_Distributor'!I14,'S3_D2_Distributor'!I14,'S3_D3_Distributor'!I14)</f>
        <v/>
      </c>
      <c r="Z17" s="2">
        <f>CHOOSE(Inputs!$B$12,'S3_D1_Distributor'!J14,'S3_D2_Distributor'!J14,'S3_D3_Distributor'!J14)</f>
        <v/>
      </c>
      <c r="AA17" s="2">
        <f>CHOOSE(Inputs!$B$12,'S3_D1_Distributor'!P14,'S3_D2_Distributor'!P14,'S3_D3_Distributor'!P14)</f>
        <v/>
      </c>
      <c r="AB17" s="2">
        <f>CHOOSE(Inputs!$B$12,'S3_D1_Distributor'!K14,'S3_D2_Distributor'!K14,'S3_D3_Distributor'!K14)</f>
        <v/>
      </c>
      <c r="AC17" s="2">
        <f>CHOOSE(Inputs!$B$12,'S3_D1_Distributor'!L14,'S3_D2_Distributor'!L14,'S3_D3_Distributor'!L14)</f>
        <v/>
      </c>
      <c r="AD17" s="2">
        <f>CHOOSE(Inputs!$B$12,'S3_D1_Distributor'!M14,'S3_D2_Distributor'!M14,'S3_D3_Distributor'!M14)</f>
        <v/>
      </c>
      <c r="AE17" s="2">
        <f>CHOOSE(Inputs!$B$12,'S3_D1_Distributor'!N14,'S3_D2_Distributor'!N14,'S3_D3_Distributor'!N14)</f>
        <v/>
      </c>
      <c r="AF17" s="2">
        <f>CHOOSE(Inputs!$B$12,'S3_D1_Factory'!C14,'S3_D2_Factory'!C14,'S3_D3_Factory'!C14)</f>
        <v/>
      </c>
      <c r="AG17" s="2">
        <f>CHOOSE(Inputs!$B$12,'S3_D1_Factory'!D14,'S3_D2_Factory'!D14,'S3_D3_Factory'!D14)</f>
        <v/>
      </c>
      <c r="AH17" s="2">
        <f>CHOOSE(Inputs!$B$12,'S3_D1_Factory'!H14,'S3_D2_Factory'!H14,'S3_D3_Factory'!H14)</f>
        <v/>
      </c>
      <c r="AI17" s="2">
        <f>CHOOSE(Inputs!$B$12,'S3_D1_Factory'!I14,'S3_D2_Factory'!I14,'S3_D3_Factory'!I14)</f>
        <v/>
      </c>
      <c r="AJ17" s="2">
        <f>CHOOSE(Inputs!$B$12,'S3_D1_Factory'!J14,'S3_D2_Factory'!J14,'S3_D3_Factory'!J14)</f>
        <v/>
      </c>
      <c r="AK17" s="2">
        <f>CHOOSE(Inputs!$B$12,'S3_D1_Factory'!P14,'S3_D2_Factory'!P14,'S3_D3_Factory'!P14)</f>
        <v/>
      </c>
      <c r="AL17" s="2">
        <f>CHOOSE(Inputs!$B$12,'S3_D1_Factory'!K14,'S3_D2_Factory'!K14,'S3_D3_Factory'!K14)</f>
        <v/>
      </c>
      <c r="AM17" s="2">
        <f>CHOOSE(Inputs!$B$12,'S3_D1_Factory'!L14,'S3_D2_Factory'!L14,'S3_D3_Factory'!L14)</f>
        <v/>
      </c>
      <c r="AN17" s="2">
        <f>CHOOSE(Inputs!$B$12,'S3_D1_Factory'!M14,'S3_D2_Factory'!M14,'S3_D3_Factory'!M14)</f>
        <v/>
      </c>
      <c r="AO17" s="2">
        <f>CHOOSE(Inputs!$B$12,'S3_D1_Factory'!N14,'S3_D2_Factory'!N14,'S3_D3_Factory'!N14)</f>
        <v/>
      </c>
      <c r="AP17" s="2">
        <f>SUM(H17,R17,AB17,AL17)</f>
        <v/>
      </c>
      <c r="AQ17" s="2">
        <f>SUM(I17,S17,AC17,AM17)</f>
        <v/>
      </c>
      <c r="AR17" s="2">
        <f>SUM(J17,T17,AD17,AN17)</f>
        <v/>
      </c>
      <c r="AS17" s="2">
        <f>AS16+AR17</f>
        <v/>
      </c>
    </row>
    <row r="18">
      <c r="A18" s="2" t="n">
        <v>14</v>
      </c>
      <c r="B18" s="2">
        <f>CHOOSE(Inputs!$B$12,'S3_D1_Retailer'!C15,'S3_D2_Retailer'!C15,'S3_D3_Retailer'!C15)</f>
        <v/>
      </c>
      <c r="C18" s="2">
        <f>CHOOSE(Inputs!$B$12,'S3_D1_Retailer'!D15,'S3_D2_Retailer'!D15,'S3_D3_Retailer'!D15)</f>
        <v/>
      </c>
      <c r="D18" s="2">
        <f>CHOOSE(Inputs!$B$12,'S3_D1_Retailer'!H15,'S3_D2_Retailer'!H15,'S3_D3_Retailer'!H15)</f>
        <v/>
      </c>
      <c r="E18" s="2">
        <f>CHOOSE(Inputs!$B$12,'S3_D1_Retailer'!I15,'S3_D2_Retailer'!I15,'S3_D3_Retailer'!I15)</f>
        <v/>
      </c>
      <c r="F18" s="2">
        <f>CHOOSE(Inputs!$B$12,'S3_D1_Retailer'!J15,'S3_D2_Retailer'!J15,'S3_D3_Retailer'!J15)</f>
        <v/>
      </c>
      <c r="G18" s="2">
        <f>CHOOSE(Inputs!$B$12,'S3_D1_Retailer'!P15,'S3_D2_Retailer'!P15,'S3_D3_Retailer'!P15)</f>
        <v/>
      </c>
      <c r="H18" s="2">
        <f>CHOOSE(Inputs!$B$12,'S3_D1_Retailer'!K15,'S3_D2_Retailer'!K15,'S3_D3_Retailer'!K15)</f>
        <v/>
      </c>
      <c r="I18" s="2">
        <f>CHOOSE(Inputs!$B$12,'S3_D1_Retailer'!L15,'S3_D2_Retailer'!L15,'S3_D3_Retailer'!L15)</f>
        <v/>
      </c>
      <c r="J18" s="2">
        <f>CHOOSE(Inputs!$B$12,'S3_D1_Retailer'!M15,'S3_D2_Retailer'!M15,'S3_D3_Retailer'!M15)</f>
        <v/>
      </c>
      <c r="K18" s="2">
        <f>CHOOSE(Inputs!$B$12,'S3_D1_Retailer'!N15,'S3_D2_Retailer'!N15,'S3_D3_Retailer'!N15)</f>
        <v/>
      </c>
      <c r="L18" s="2">
        <f>CHOOSE(Inputs!$B$12,'S3_D1_Wholesaler'!C15,'S3_D2_Wholesaler'!C15,'S3_D3_Wholesaler'!C15)</f>
        <v/>
      </c>
      <c r="M18" s="2">
        <f>CHOOSE(Inputs!$B$12,'S3_D1_Wholesaler'!D15,'S3_D2_Wholesaler'!D15,'S3_D3_Wholesaler'!D15)</f>
        <v/>
      </c>
      <c r="N18" s="2">
        <f>CHOOSE(Inputs!$B$12,'S3_D1_Wholesaler'!H15,'S3_D2_Wholesaler'!H15,'S3_D3_Wholesaler'!H15)</f>
        <v/>
      </c>
      <c r="O18" s="2">
        <f>CHOOSE(Inputs!$B$12,'S3_D1_Wholesaler'!I15,'S3_D2_Wholesaler'!I15,'S3_D3_Wholesaler'!I15)</f>
        <v/>
      </c>
      <c r="P18" s="2">
        <f>CHOOSE(Inputs!$B$12,'S3_D1_Wholesaler'!J15,'S3_D2_Wholesaler'!J15,'S3_D3_Wholesaler'!J15)</f>
        <v/>
      </c>
      <c r="Q18" s="2">
        <f>CHOOSE(Inputs!$B$12,'S3_D1_Wholesaler'!P15,'S3_D2_Wholesaler'!P15,'S3_D3_Wholesaler'!P15)</f>
        <v/>
      </c>
      <c r="R18" s="2">
        <f>CHOOSE(Inputs!$B$12,'S3_D1_Wholesaler'!K15,'S3_D2_Wholesaler'!K15,'S3_D3_Wholesaler'!K15)</f>
        <v/>
      </c>
      <c r="S18" s="2">
        <f>CHOOSE(Inputs!$B$12,'S3_D1_Wholesaler'!L15,'S3_D2_Wholesaler'!L15,'S3_D3_Wholesaler'!L15)</f>
        <v/>
      </c>
      <c r="T18" s="2">
        <f>CHOOSE(Inputs!$B$12,'S3_D1_Wholesaler'!M15,'S3_D2_Wholesaler'!M15,'S3_D3_Wholesaler'!M15)</f>
        <v/>
      </c>
      <c r="U18" s="2">
        <f>CHOOSE(Inputs!$B$12,'S3_D1_Wholesaler'!N15,'S3_D2_Wholesaler'!N15,'S3_D3_Wholesaler'!N15)</f>
        <v/>
      </c>
      <c r="V18" s="2">
        <f>CHOOSE(Inputs!$B$12,'S3_D1_Distributor'!C15,'S3_D2_Distributor'!C15,'S3_D3_Distributor'!C15)</f>
        <v/>
      </c>
      <c r="W18" s="2">
        <f>CHOOSE(Inputs!$B$12,'S3_D1_Distributor'!D15,'S3_D2_Distributor'!D15,'S3_D3_Distributor'!D15)</f>
        <v/>
      </c>
      <c r="X18" s="2">
        <f>CHOOSE(Inputs!$B$12,'S3_D1_Distributor'!H15,'S3_D2_Distributor'!H15,'S3_D3_Distributor'!H15)</f>
        <v/>
      </c>
      <c r="Y18" s="2">
        <f>CHOOSE(Inputs!$B$12,'S3_D1_Distributor'!I15,'S3_D2_Distributor'!I15,'S3_D3_Distributor'!I15)</f>
        <v/>
      </c>
      <c r="Z18" s="2">
        <f>CHOOSE(Inputs!$B$12,'S3_D1_Distributor'!J15,'S3_D2_Distributor'!J15,'S3_D3_Distributor'!J15)</f>
        <v/>
      </c>
      <c r="AA18" s="2">
        <f>CHOOSE(Inputs!$B$12,'S3_D1_Distributor'!P15,'S3_D2_Distributor'!P15,'S3_D3_Distributor'!P15)</f>
        <v/>
      </c>
      <c r="AB18" s="2">
        <f>CHOOSE(Inputs!$B$12,'S3_D1_Distributor'!K15,'S3_D2_Distributor'!K15,'S3_D3_Distributor'!K15)</f>
        <v/>
      </c>
      <c r="AC18" s="2">
        <f>CHOOSE(Inputs!$B$12,'S3_D1_Distributor'!L15,'S3_D2_Distributor'!L15,'S3_D3_Distributor'!L15)</f>
        <v/>
      </c>
      <c r="AD18" s="2">
        <f>CHOOSE(Inputs!$B$12,'S3_D1_Distributor'!M15,'S3_D2_Distributor'!M15,'S3_D3_Distributor'!M15)</f>
        <v/>
      </c>
      <c r="AE18" s="2">
        <f>CHOOSE(Inputs!$B$12,'S3_D1_Distributor'!N15,'S3_D2_Distributor'!N15,'S3_D3_Distributor'!N15)</f>
        <v/>
      </c>
      <c r="AF18" s="2">
        <f>CHOOSE(Inputs!$B$12,'S3_D1_Factory'!C15,'S3_D2_Factory'!C15,'S3_D3_Factory'!C15)</f>
        <v/>
      </c>
      <c r="AG18" s="2">
        <f>CHOOSE(Inputs!$B$12,'S3_D1_Factory'!D15,'S3_D2_Factory'!D15,'S3_D3_Factory'!D15)</f>
        <v/>
      </c>
      <c r="AH18" s="2">
        <f>CHOOSE(Inputs!$B$12,'S3_D1_Factory'!H15,'S3_D2_Factory'!H15,'S3_D3_Factory'!H15)</f>
        <v/>
      </c>
      <c r="AI18" s="2">
        <f>CHOOSE(Inputs!$B$12,'S3_D1_Factory'!I15,'S3_D2_Factory'!I15,'S3_D3_Factory'!I15)</f>
        <v/>
      </c>
      <c r="AJ18" s="2">
        <f>CHOOSE(Inputs!$B$12,'S3_D1_Factory'!J15,'S3_D2_Factory'!J15,'S3_D3_Factory'!J15)</f>
        <v/>
      </c>
      <c r="AK18" s="2">
        <f>CHOOSE(Inputs!$B$12,'S3_D1_Factory'!P15,'S3_D2_Factory'!P15,'S3_D3_Factory'!P15)</f>
        <v/>
      </c>
      <c r="AL18" s="2">
        <f>CHOOSE(Inputs!$B$12,'S3_D1_Factory'!K15,'S3_D2_Factory'!K15,'S3_D3_Factory'!K15)</f>
        <v/>
      </c>
      <c r="AM18" s="2">
        <f>CHOOSE(Inputs!$B$12,'S3_D1_Factory'!L15,'S3_D2_Factory'!L15,'S3_D3_Factory'!L15)</f>
        <v/>
      </c>
      <c r="AN18" s="2">
        <f>CHOOSE(Inputs!$B$12,'S3_D1_Factory'!M15,'S3_D2_Factory'!M15,'S3_D3_Factory'!M15)</f>
        <v/>
      </c>
      <c r="AO18" s="2">
        <f>CHOOSE(Inputs!$B$12,'S3_D1_Factory'!N15,'S3_D2_Factory'!N15,'S3_D3_Factory'!N15)</f>
        <v/>
      </c>
      <c r="AP18" s="2">
        <f>SUM(H18,R18,AB18,AL18)</f>
        <v/>
      </c>
      <c r="AQ18" s="2">
        <f>SUM(I18,S18,AC18,AM18)</f>
        <v/>
      </c>
      <c r="AR18" s="2">
        <f>SUM(J18,T18,AD18,AN18)</f>
        <v/>
      </c>
      <c r="AS18" s="2">
        <f>AS17+AR18</f>
        <v/>
      </c>
    </row>
    <row r="19">
      <c r="A19" s="2" t="n">
        <v>15</v>
      </c>
      <c r="B19" s="2">
        <f>CHOOSE(Inputs!$B$12,'S3_D1_Retailer'!C16,'S3_D2_Retailer'!C16,'S3_D3_Retailer'!C16)</f>
        <v/>
      </c>
      <c r="C19" s="2">
        <f>CHOOSE(Inputs!$B$12,'S3_D1_Retailer'!D16,'S3_D2_Retailer'!D16,'S3_D3_Retailer'!D16)</f>
        <v/>
      </c>
      <c r="D19" s="2">
        <f>CHOOSE(Inputs!$B$12,'S3_D1_Retailer'!H16,'S3_D2_Retailer'!H16,'S3_D3_Retailer'!H16)</f>
        <v/>
      </c>
      <c r="E19" s="2">
        <f>CHOOSE(Inputs!$B$12,'S3_D1_Retailer'!I16,'S3_D2_Retailer'!I16,'S3_D3_Retailer'!I16)</f>
        <v/>
      </c>
      <c r="F19" s="2">
        <f>CHOOSE(Inputs!$B$12,'S3_D1_Retailer'!J16,'S3_D2_Retailer'!J16,'S3_D3_Retailer'!J16)</f>
        <v/>
      </c>
      <c r="G19" s="2">
        <f>CHOOSE(Inputs!$B$12,'S3_D1_Retailer'!P16,'S3_D2_Retailer'!P16,'S3_D3_Retailer'!P16)</f>
        <v/>
      </c>
      <c r="H19" s="2">
        <f>CHOOSE(Inputs!$B$12,'S3_D1_Retailer'!K16,'S3_D2_Retailer'!K16,'S3_D3_Retailer'!K16)</f>
        <v/>
      </c>
      <c r="I19" s="2">
        <f>CHOOSE(Inputs!$B$12,'S3_D1_Retailer'!L16,'S3_D2_Retailer'!L16,'S3_D3_Retailer'!L16)</f>
        <v/>
      </c>
      <c r="J19" s="2">
        <f>CHOOSE(Inputs!$B$12,'S3_D1_Retailer'!M16,'S3_D2_Retailer'!M16,'S3_D3_Retailer'!M16)</f>
        <v/>
      </c>
      <c r="K19" s="2">
        <f>CHOOSE(Inputs!$B$12,'S3_D1_Retailer'!N16,'S3_D2_Retailer'!N16,'S3_D3_Retailer'!N16)</f>
        <v/>
      </c>
      <c r="L19" s="2">
        <f>CHOOSE(Inputs!$B$12,'S3_D1_Wholesaler'!C16,'S3_D2_Wholesaler'!C16,'S3_D3_Wholesaler'!C16)</f>
        <v/>
      </c>
      <c r="M19" s="2">
        <f>CHOOSE(Inputs!$B$12,'S3_D1_Wholesaler'!D16,'S3_D2_Wholesaler'!D16,'S3_D3_Wholesaler'!D16)</f>
        <v/>
      </c>
      <c r="N19" s="2">
        <f>CHOOSE(Inputs!$B$12,'S3_D1_Wholesaler'!H16,'S3_D2_Wholesaler'!H16,'S3_D3_Wholesaler'!H16)</f>
        <v/>
      </c>
      <c r="O19" s="2">
        <f>CHOOSE(Inputs!$B$12,'S3_D1_Wholesaler'!I16,'S3_D2_Wholesaler'!I16,'S3_D3_Wholesaler'!I16)</f>
        <v/>
      </c>
      <c r="P19" s="2">
        <f>CHOOSE(Inputs!$B$12,'S3_D1_Wholesaler'!J16,'S3_D2_Wholesaler'!J16,'S3_D3_Wholesaler'!J16)</f>
        <v/>
      </c>
      <c r="Q19" s="2">
        <f>CHOOSE(Inputs!$B$12,'S3_D1_Wholesaler'!P16,'S3_D2_Wholesaler'!P16,'S3_D3_Wholesaler'!P16)</f>
        <v/>
      </c>
      <c r="R19" s="2">
        <f>CHOOSE(Inputs!$B$12,'S3_D1_Wholesaler'!K16,'S3_D2_Wholesaler'!K16,'S3_D3_Wholesaler'!K16)</f>
        <v/>
      </c>
      <c r="S19" s="2">
        <f>CHOOSE(Inputs!$B$12,'S3_D1_Wholesaler'!L16,'S3_D2_Wholesaler'!L16,'S3_D3_Wholesaler'!L16)</f>
        <v/>
      </c>
      <c r="T19" s="2">
        <f>CHOOSE(Inputs!$B$12,'S3_D1_Wholesaler'!M16,'S3_D2_Wholesaler'!M16,'S3_D3_Wholesaler'!M16)</f>
        <v/>
      </c>
      <c r="U19" s="2">
        <f>CHOOSE(Inputs!$B$12,'S3_D1_Wholesaler'!N16,'S3_D2_Wholesaler'!N16,'S3_D3_Wholesaler'!N16)</f>
        <v/>
      </c>
      <c r="V19" s="2">
        <f>CHOOSE(Inputs!$B$12,'S3_D1_Distributor'!C16,'S3_D2_Distributor'!C16,'S3_D3_Distributor'!C16)</f>
        <v/>
      </c>
      <c r="W19" s="2">
        <f>CHOOSE(Inputs!$B$12,'S3_D1_Distributor'!D16,'S3_D2_Distributor'!D16,'S3_D3_Distributor'!D16)</f>
        <v/>
      </c>
      <c r="X19" s="2">
        <f>CHOOSE(Inputs!$B$12,'S3_D1_Distributor'!H16,'S3_D2_Distributor'!H16,'S3_D3_Distributor'!H16)</f>
        <v/>
      </c>
      <c r="Y19" s="2">
        <f>CHOOSE(Inputs!$B$12,'S3_D1_Distributor'!I16,'S3_D2_Distributor'!I16,'S3_D3_Distributor'!I16)</f>
        <v/>
      </c>
      <c r="Z19" s="2">
        <f>CHOOSE(Inputs!$B$12,'S3_D1_Distributor'!J16,'S3_D2_Distributor'!J16,'S3_D3_Distributor'!J16)</f>
        <v/>
      </c>
      <c r="AA19" s="2">
        <f>CHOOSE(Inputs!$B$12,'S3_D1_Distributor'!P16,'S3_D2_Distributor'!P16,'S3_D3_Distributor'!P16)</f>
        <v/>
      </c>
      <c r="AB19" s="2">
        <f>CHOOSE(Inputs!$B$12,'S3_D1_Distributor'!K16,'S3_D2_Distributor'!K16,'S3_D3_Distributor'!K16)</f>
        <v/>
      </c>
      <c r="AC19" s="2">
        <f>CHOOSE(Inputs!$B$12,'S3_D1_Distributor'!L16,'S3_D2_Distributor'!L16,'S3_D3_Distributor'!L16)</f>
        <v/>
      </c>
      <c r="AD19" s="2">
        <f>CHOOSE(Inputs!$B$12,'S3_D1_Distributor'!M16,'S3_D2_Distributor'!M16,'S3_D3_Distributor'!M16)</f>
        <v/>
      </c>
      <c r="AE19" s="2">
        <f>CHOOSE(Inputs!$B$12,'S3_D1_Distributor'!N16,'S3_D2_Distributor'!N16,'S3_D3_Distributor'!N16)</f>
        <v/>
      </c>
      <c r="AF19" s="2">
        <f>CHOOSE(Inputs!$B$12,'S3_D1_Factory'!C16,'S3_D2_Factory'!C16,'S3_D3_Factory'!C16)</f>
        <v/>
      </c>
      <c r="AG19" s="2">
        <f>CHOOSE(Inputs!$B$12,'S3_D1_Factory'!D16,'S3_D2_Factory'!D16,'S3_D3_Factory'!D16)</f>
        <v/>
      </c>
      <c r="AH19" s="2">
        <f>CHOOSE(Inputs!$B$12,'S3_D1_Factory'!H16,'S3_D2_Factory'!H16,'S3_D3_Factory'!H16)</f>
        <v/>
      </c>
      <c r="AI19" s="2">
        <f>CHOOSE(Inputs!$B$12,'S3_D1_Factory'!I16,'S3_D2_Factory'!I16,'S3_D3_Factory'!I16)</f>
        <v/>
      </c>
      <c r="AJ19" s="2">
        <f>CHOOSE(Inputs!$B$12,'S3_D1_Factory'!J16,'S3_D2_Factory'!J16,'S3_D3_Factory'!J16)</f>
        <v/>
      </c>
      <c r="AK19" s="2">
        <f>CHOOSE(Inputs!$B$12,'S3_D1_Factory'!P16,'S3_D2_Factory'!P16,'S3_D3_Factory'!P16)</f>
        <v/>
      </c>
      <c r="AL19" s="2">
        <f>CHOOSE(Inputs!$B$12,'S3_D1_Factory'!K16,'S3_D2_Factory'!K16,'S3_D3_Factory'!K16)</f>
        <v/>
      </c>
      <c r="AM19" s="2">
        <f>CHOOSE(Inputs!$B$12,'S3_D1_Factory'!L16,'S3_D2_Factory'!L16,'S3_D3_Factory'!L16)</f>
        <v/>
      </c>
      <c r="AN19" s="2">
        <f>CHOOSE(Inputs!$B$12,'S3_D1_Factory'!M16,'S3_D2_Factory'!M16,'S3_D3_Factory'!M16)</f>
        <v/>
      </c>
      <c r="AO19" s="2">
        <f>CHOOSE(Inputs!$B$12,'S3_D1_Factory'!N16,'S3_D2_Factory'!N16,'S3_D3_Factory'!N16)</f>
        <v/>
      </c>
      <c r="AP19" s="2">
        <f>SUM(H19,R19,AB19,AL19)</f>
        <v/>
      </c>
      <c r="AQ19" s="2">
        <f>SUM(I19,S19,AC19,AM19)</f>
        <v/>
      </c>
      <c r="AR19" s="2">
        <f>SUM(J19,T19,AD19,AN19)</f>
        <v/>
      </c>
      <c r="AS19" s="2">
        <f>AS18+AR19</f>
        <v/>
      </c>
    </row>
    <row r="20">
      <c r="A20" s="2" t="n">
        <v>16</v>
      </c>
      <c r="B20" s="2">
        <f>CHOOSE(Inputs!$B$12,'S3_D1_Retailer'!C17,'S3_D2_Retailer'!C17,'S3_D3_Retailer'!C17)</f>
        <v/>
      </c>
      <c r="C20" s="2">
        <f>CHOOSE(Inputs!$B$12,'S3_D1_Retailer'!D17,'S3_D2_Retailer'!D17,'S3_D3_Retailer'!D17)</f>
        <v/>
      </c>
      <c r="D20" s="2">
        <f>CHOOSE(Inputs!$B$12,'S3_D1_Retailer'!H17,'S3_D2_Retailer'!H17,'S3_D3_Retailer'!H17)</f>
        <v/>
      </c>
      <c r="E20" s="2">
        <f>CHOOSE(Inputs!$B$12,'S3_D1_Retailer'!I17,'S3_D2_Retailer'!I17,'S3_D3_Retailer'!I17)</f>
        <v/>
      </c>
      <c r="F20" s="2">
        <f>CHOOSE(Inputs!$B$12,'S3_D1_Retailer'!J17,'S3_D2_Retailer'!J17,'S3_D3_Retailer'!J17)</f>
        <v/>
      </c>
      <c r="G20" s="2">
        <f>CHOOSE(Inputs!$B$12,'S3_D1_Retailer'!P17,'S3_D2_Retailer'!P17,'S3_D3_Retailer'!P17)</f>
        <v/>
      </c>
      <c r="H20" s="2">
        <f>CHOOSE(Inputs!$B$12,'S3_D1_Retailer'!K17,'S3_D2_Retailer'!K17,'S3_D3_Retailer'!K17)</f>
        <v/>
      </c>
      <c r="I20" s="2">
        <f>CHOOSE(Inputs!$B$12,'S3_D1_Retailer'!L17,'S3_D2_Retailer'!L17,'S3_D3_Retailer'!L17)</f>
        <v/>
      </c>
      <c r="J20" s="2">
        <f>CHOOSE(Inputs!$B$12,'S3_D1_Retailer'!M17,'S3_D2_Retailer'!M17,'S3_D3_Retailer'!M17)</f>
        <v/>
      </c>
      <c r="K20" s="2">
        <f>CHOOSE(Inputs!$B$12,'S3_D1_Retailer'!N17,'S3_D2_Retailer'!N17,'S3_D3_Retailer'!N17)</f>
        <v/>
      </c>
      <c r="L20" s="2">
        <f>CHOOSE(Inputs!$B$12,'S3_D1_Wholesaler'!C17,'S3_D2_Wholesaler'!C17,'S3_D3_Wholesaler'!C17)</f>
        <v/>
      </c>
      <c r="M20" s="2">
        <f>CHOOSE(Inputs!$B$12,'S3_D1_Wholesaler'!D17,'S3_D2_Wholesaler'!D17,'S3_D3_Wholesaler'!D17)</f>
        <v/>
      </c>
      <c r="N20" s="2">
        <f>CHOOSE(Inputs!$B$12,'S3_D1_Wholesaler'!H17,'S3_D2_Wholesaler'!H17,'S3_D3_Wholesaler'!H17)</f>
        <v/>
      </c>
      <c r="O20" s="2">
        <f>CHOOSE(Inputs!$B$12,'S3_D1_Wholesaler'!I17,'S3_D2_Wholesaler'!I17,'S3_D3_Wholesaler'!I17)</f>
        <v/>
      </c>
      <c r="P20" s="2">
        <f>CHOOSE(Inputs!$B$12,'S3_D1_Wholesaler'!J17,'S3_D2_Wholesaler'!J17,'S3_D3_Wholesaler'!J17)</f>
        <v/>
      </c>
      <c r="Q20" s="2">
        <f>CHOOSE(Inputs!$B$12,'S3_D1_Wholesaler'!P17,'S3_D2_Wholesaler'!P17,'S3_D3_Wholesaler'!P17)</f>
        <v/>
      </c>
      <c r="R20" s="2">
        <f>CHOOSE(Inputs!$B$12,'S3_D1_Wholesaler'!K17,'S3_D2_Wholesaler'!K17,'S3_D3_Wholesaler'!K17)</f>
        <v/>
      </c>
      <c r="S20" s="2">
        <f>CHOOSE(Inputs!$B$12,'S3_D1_Wholesaler'!L17,'S3_D2_Wholesaler'!L17,'S3_D3_Wholesaler'!L17)</f>
        <v/>
      </c>
      <c r="T20" s="2">
        <f>CHOOSE(Inputs!$B$12,'S3_D1_Wholesaler'!M17,'S3_D2_Wholesaler'!M17,'S3_D3_Wholesaler'!M17)</f>
        <v/>
      </c>
      <c r="U20" s="2">
        <f>CHOOSE(Inputs!$B$12,'S3_D1_Wholesaler'!N17,'S3_D2_Wholesaler'!N17,'S3_D3_Wholesaler'!N17)</f>
        <v/>
      </c>
      <c r="V20" s="2">
        <f>CHOOSE(Inputs!$B$12,'S3_D1_Distributor'!C17,'S3_D2_Distributor'!C17,'S3_D3_Distributor'!C17)</f>
        <v/>
      </c>
      <c r="W20" s="2">
        <f>CHOOSE(Inputs!$B$12,'S3_D1_Distributor'!D17,'S3_D2_Distributor'!D17,'S3_D3_Distributor'!D17)</f>
        <v/>
      </c>
      <c r="X20" s="2">
        <f>CHOOSE(Inputs!$B$12,'S3_D1_Distributor'!H17,'S3_D2_Distributor'!H17,'S3_D3_Distributor'!H17)</f>
        <v/>
      </c>
      <c r="Y20" s="2">
        <f>CHOOSE(Inputs!$B$12,'S3_D1_Distributor'!I17,'S3_D2_Distributor'!I17,'S3_D3_Distributor'!I17)</f>
        <v/>
      </c>
      <c r="Z20" s="2">
        <f>CHOOSE(Inputs!$B$12,'S3_D1_Distributor'!J17,'S3_D2_Distributor'!J17,'S3_D3_Distributor'!J17)</f>
        <v/>
      </c>
      <c r="AA20" s="2">
        <f>CHOOSE(Inputs!$B$12,'S3_D1_Distributor'!P17,'S3_D2_Distributor'!P17,'S3_D3_Distributor'!P17)</f>
        <v/>
      </c>
      <c r="AB20" s="2">
        <f>CHOOSE(Inputs!$B$12,'S3_D1_Distributor'!K17,'S3_D2_Distributor'!K17,'S3_D3_Distributor'!K17)</f>
        <v/>
      </c>
      <c r="AC20" s="2">
        <f>CHOOSE(Inputs!$B$12,'S3_D1_Distributor'!L17,'S3_D2_Distributor'!L17,'S3_D3_Distributor'!L17)</f>
        <v/>
      </c>
      <c r="AD20" s="2">
        <f>CHOOSE(Inputs!$B$12,'S3_D1_Distributor'!M17,'S3_D2_Distributor'!M17,'S3_D3_Distributor'!M17)</f>
        <v/>
      </c>
      <c r="AE20" s="2">
        <f>CHOOSE(Inputs!$B$12,'S3_D1_Distributor'!N17,'S3_D2_Distributor'!N17,'S3_D3_Distributor'!N17)</f>
        <v/>
      </c>
      <c r="AF20" s="2">
        <f>CHOOSE(Inputs!$B$12,'S3_D1_Factory'!C17,'S3_D2_Factory'!C17,'S3_D3_Factory'!C17)</f>
        <v/>
      </c>
      <c r="AG20" s="2">
        <f>CHOOSE(Inputs!$B$12,'S3_D1_Factory'!D17,'S3_D2_Factory'!D17,'S3_D3_Factory'!D17)</f>
        <v/>
      </c>
      <c r="AH20" s="2">
        <f>CHOOSE(Inputs!$B$12,'S3_D1_Factory'!H17,'S3_D2_Factory'!H17,'S3_D3_Factory'!H17)</f>
        <v/>
      </c>
      <c r="AI20" s="2">
        <f>CHOOSE(Inputs!$B$12,'S3_D1_Factory'!I17,'S3_D2_Factory'!I17,'S3_D3_Factory'!I17)</f>
        <v/>
      </c>
      <c r="AJ20" s="2">
        <f>CHOOSE(Inputs!$B$12,'S3_D1_Factory'!J17,'S3_D2_Factory'!J17,'S3_D3_Factory'!J17)</f>
        <v/>
      </c>
      <c r="AK20" s="2">
        <f>CHOOSE(Inputs!$B$12,'S3_D1_Factory'!P17,'S3_D2_Factory'!P17,'S3_D3_Factory'!P17)</f>
        <v/>
      </c>
      <c r="AL20" s="2">
        <f>CHOOSE(Inputs!$B$12,'S3_D1_Factory'!K17,'S3_D2_Factory'!K17,'S3_D3_Factory'!K17)</f>
        <v/>
      </c>
      <c r="AM20" s="2">
        <f>CHOOSE(Inputs!$B$12,'S3_D1_Factory'!L17,'S3_D2_Factory'!L17,'S3_D3_Factory'!L17)</f>
        <v/>
      </c>
      <c r="AN20" s="2">
        <f>CHOOSE(Inputs!$B$12,'S3_D1_Factory'!M17,'S3_D2_Factory'!M17,'S3_D3_Factory'!M17)</f>
        <v/>
      </c>
      <c r="AO20" s="2">
        <f>CHOOSE(Inputs!$B$12,'S3_D1_Factory'!N17,'S3_D2_Factory'!N17,'S3_D3_Factory'!N17)</f>
        <v/>
      </c>
      <c r="AP20" s="2">
        <f>SUM(H20,R20,AB20,AL20)</f>
        <v/>
      </c>
      <c r="AQ20" s="2">
        <f>SUM(I20,S20,AC20,AM20)</f>
        <v/>
      </c>
      <c r="AR20" s="2">
        <f>SUM(J20,T20,AD20,AN20)</f>
        <v/>
      </c>
      <c r="AS20" s="2">
        <f>AS19+AR20</f>
        <v/>
      </c>
    </row>
    <row r="21">
      <c r="A21" s="2" t="n">
        <v>17</v>
      </c>
      <c r="B21" s="2">
        <f>CHOOSE(Inputs!$B$12,'S3_D1_Retailer'!C18,'S3_D2_Retailer'!C18,'S3_D3_Retailer'!C18)</f>
        <v/>
      </c>
      <c r="C21" s="2">
        <f>CHOOSE(Inputs!$B$12,'S3_D1_Retailer'!D18,'S3_D2_Retailer'!D18,'S3_D3_Retailer'!D18)</f>
        <v/>
      </c>
      <c r="D21" s="2">
        <f>CHOOSE(Inputs!$B$12,'S3_D1_Retailer'!H18,'S3_D2_Retailer'!H18,'S3_D3_Retailer'!H18)</f>
        <v/>
      </c>
      <c r="E21" s="2">
        <f>CHOOSE(Inputs!$B$12,'S3_D1_Retailer'!I18,'S3_D2_Retailer'!I18,'S3_D3_Retailer'!I18)</f>
        <v/>
      </c>
      <c r="F21" s="2">
        <f>CHOOSE(Inputs!$B$12,'S3_D1_Retailer'!J18,'S3_D2_Retailer'!J18,'S3_D3_Retailer'!J18)</f>
        <v/>
      </c>
      <c r="G21" s="2">
        <f>CHOOSE(Inputs!$B$12,'S3_D1_Retailer'!P18,'S3_D2_Retailer'!P18,'S3_D3_Retailer'!P18)</f>
        <v/>
      </c>
      <c r="H21" s="2">
        <f>CHOOSE(Inputs!$B$12,'S3_D1_Retailer'!K18,'S3_D2_Retailer'!K18,'S3_D3_Retailer'!K18)</f>
        <v/>
      </c>
      <c r="I21" s="2">
        <f>CHOOSE(Inputs!$B$12,'S3_D1_Retailer'!L18,'S3_D2_Retailer'!L18,'S3_D3_Retailer'!L18)</f>
        <v/>
      </c>
      <c r="J21" s="2">
        <f>CHOOSE(Inputs!$B$12,'S3_D1_Retailer'!M18,'S3_D2_Retailer'!M18,'S3_D3_Retailer'!M18)</f>
        <v/>
      </c>
      <c r="K21" s="2">
        <f>CHOOSE(Inputs!$B$12,'S3_D1_Retailer'!N18,'S3_D2_Retailer'!N18,'S3_D3_Retailer'!N18)</f>
        <v/>
      </c>
      <c r="L21" s="2">
        <f>CHOOSE(Inputs!$B$12,'S3_D1_Wholesaler'!C18,'S3_D2_Wholesaler'!C18,'S3_D3_Wholesaler'!C18)</f>
        <v/>
      </c>
      <c r="M21" s="2">
        <f>CHOOSE(Inputs!$B$12,'S3_D1_Wholesaler'!D18,'S3_D2_Wholesaler'!D18,'S3_D3_Wholesaler'!D18)</f>
        <v/>
      </c>
      <c r="N21" s="2">
        <f>CHOOSE(Inputs!$B$12,'S3_D1_Wholesaler'!H18,'S3_D2_Wholesaler'!H18,'S3_D3_Wholesaler'!H18)</f>
        <v/>
      </c>
      <c r="O21" s="2">
        <f>CHOOSE(Inputs!$B$12,'S3_D1_Wholesaler'!I18,'S3_D2_Wholesaler'!I18,'S3_D3_Wholesaler'!I18)</f>
        <v/>
      </c>
      <c r="P21" s="2">
        <f>CHOOSE(Inputs!$B$12,'S3_D1_Wholesaler'!J18,'S3_D2_Wholesaler'!J18,'S3_D3_Wholesaler'!J18)</f>
        <v/>
      </c>
      <c r="Q21" s="2">
        <f>CHOOSE(Inputs!$B$12,'S3_D1_Wholesaler'!P18,'S3_D2_Wholesaler'!P18,'S3_D3_Wholesaler'!P18)</f>
        <v/>
      </c>
      <c r="R21" s="2">
        <f>CHOOSE(Inputs!$B$12,'S3_D1_Wholesaler'!K18,'S3_D2_Wholesaler'!K18,'S3_D3_Wholesaler'!K18)</f>
        <v/>
      </c>
      <c r="S21" s="2">
        <f>CHOOSE(Inputs!$B$12,'S3_D1_Wholesaler'!L18,'S3_D2_Wholesaler'!L18,'S3_D3_Wholesaler'!L18)</f>
        <v/>
      </c>
      <c r="T21" s="2">
        <f>CHOOSE(Inputs!$B$12,'S3_D1_Wholesaler'!M18,'S3_D2_Wholesaler'!M18,'S3_D3_Wholesaler'!M18)</f>
        <v/>
      </c>
      <c r="U21" s="2">
        <f>CHOOSE(Inputs!$B$12,'S3_D1_Wholesaler'!N18,'S3_D2_Wholesaler'!N18,'S3_D3_Wholesaler'!N18)</f>
        <v/>
      </c>
      <c r="V21" s="2">
        <f>CHOOSE(Inputs!$B$12,'S3_D1_Distributor'!C18,'S3_D2_Distributor'!C18,'S3_D3_Distributor'!C18)</f>
        <v/>
      </c>
      <c r="W21" s="2">
        <f>CHOOSE(Inputs!$B$12,'S3_D1_Distributor'!D18,'S3_D2_Distributor'!D18,'S3_D3_Distributor'!D18)</f>
        <v/>
      </c>
      <c r="X21" s="2">
        <f>CHOOSE(Inputs!$B$12,'S3_D1_Distributor'!H18,'S3_D2_Distributor'!H18,'S3_D3_Distributor'!H18)</f>
        <v/>
      </c>
      <c r="Y21" s="2">
        <f>CHOOSE(Inputs!$B$12,'S3_D1_Distributor'!I18,'S3_D2_Distributor'!I18,'S3_D3_Distributor'!I18)</f>
        <v/>
      </c>
      <c r="Z21" s="2">
        <f>CHOOSE(Inputs!$B$12,'S3_D1_Distributor'!J18,'S3_D2_Distributor'!J18,'S3_D3_Distributor'!J18)</f>
        <v/>
      </c>
      <c r="AA21" s="2">
        <f>CHOOSE(Inputs!$B$12,'S3_D1_Distributor'!P18,'S3_D2_Distributor'!P18,'S3_D3_Distributor'!P18)</f>
        <v/>
      </c>
      <c r="AB21" s="2">
        <f>CHOOSE(Inputs!$B$12,'S3_D1_Distributor'!K18,'S3_D2_Distributor'!K18,'S3_D3_Distributor'!K18)</f>
        <v/>
      </c>
      <c r="AC21" s="2">
        <f>CHOOSE(Inputs!$B$12,'S3_D1_Distributor'!L18,'S3_D2_Distributor'!L18,'S3_D3_Distributor'!L18)</f>
        <v/>
      </c>
      <c r="AD21" s="2">
        <f>CHOOSE(Inputs!$B$12,'S3_D1_Distributor'!M18,'S3_D2_Distributor'!M18,'S3_D3_Distributor'!M18)</f>
        <v/>
      </c>
      <c r="AE21" s="2">
        <f>CHOOSE(Inputs!$B$12,'S3_D1_Distributor'!N18,'S3_D2_Distributor'!N18,'S3_D3_Distributor'!N18)</f>
        <v/>
      </c>
      <c r="AF21" s="2">
        <f>CHOOSE(Inputs!$B$12,'S3_D1_Factory'!C18,'S3_D2_Factory'!C18,'S3_D3_Factory'!C18)</f>
        <v/>
      </c>
      <c r="AG21" s="2">
        <f>CHOOSE(Inputs!$B$12,'S3_D1_Factory'!D18,'S3_D2_Factory'!D18,'S3_D3_Factory'!D18)</f>
        <v/>
      </c>
      <c r="AH21" s="2">
        <f>CHOOSE(Inputs!$B$12,'S3_D1_Factory'!H18,'S3_D2_Factory'!H18,'S3_D3_Factory'!H18)</f>
        <v/>
      </c>
      <c r="AI21" s="2">
        <f>CHOOSE(Inputs!$B$12,'S3_D1_Factory'!I18,'S3_D2_Factory'!I18,'S3_D3_Factory'!I18)</f>
        <v/>
      </c>
      <c r="AJ21" s="2">
        <f>CHOOSE(Inputs!$B$12,'S3_D1_Factory'!J18,'S3_D2_Factory'!J18,'S3_D3_Factory'!J18)</f>
        <v/>
      </c>
      <c r="AK21" s="2">
        <f>CHOOSE(Inputs!$B$12,'S3_D1_Factory'!P18,'S3_D2_Factory'!P18,'S3_D3_Factory'!P18)</f>
        <v/>
      </c>
      <c r="AL21" s="2">
        <f>CHOOSE(Inputs!$B$12,'S3_D1_Factory'!K18,'S3_D2_Factory'!K18,'S3_D3_Factory'!K18)</f>
        <v/>
      </c>
      <c r="AM21" s="2">
        <f>CHOOSE(Inputs!$B$12,'S3_D1_Factory'!L18,'S3_D2_Factory'!L18,'S3_D3_Factory'!L18)</f>
        <v/>
      </c>
      <c r="AN21" s="2">
        <f>CHOOSE(Inputs!$B$12,'S3_D1_Factory'!M18,'S3_D2_Factory'!M18,'S3_D3_Factory'!M18)</f>
        <v/>
      </c>
      <c r="AO21" s="2">
        <f>CHOOSE(Inputs!$B$12,'S3_D1_Factory'!N18,'S3_D2_Factory'!N18,'S3_D3_Factory'!N18)</f>
        <v/>
      </c>
      <c r="AP21" s="2">
        <f>SUM(H21,R21,AB21,AL21)</f>
        <v/>
      </c>
      <c r="AQ21" s="2">
        <f>SUM(I21,S21,AC21,AM21)</f>
        <v/>
      </c>
      <c r="AR21" s="2">
        <f>SUM(J21,T21,AD21,AN21)</f>
        <v/>
      </c>
      <c r="AS21" s="2">
        <f>AS20+AR21</f>
        <v/>
      </c>
    </row>
    <row r="22">
      <c r="A22" s="2" t="n">
        <v>18</v>
      </c>
      <c r="B22" s="2">
        <f>CHOOSE(Inputs!$B$12,'S3_D1_Retailer'!C19,'S3_D2_Retailer'!C19,'S3_D3_Retailer'!C19)</f>
        <v/>
      </c>
      <c r="C22" s="2">
        <f>CHOOSE(Inputs!$B$12,'S3_D1_Retailer'!D19,'S3_D2_Retailer'!D19,'S3_D3_Retailer'!D19)</f>
        <v/>
      </c>
      <c r="D22" s="2">
        <f>CHOOSE(Inputs!$B$12,'S3_D1_Retailer'!H19,'S3_D2_Retailer'!H19,'S3_D3_Retailer'!H19)</f>
        <v/>
      </c>
      <c r="E22" s="2">
        <f>CHOOSE(Inputs!$B$12,'S3_D1_Retailer'!I19,'S3_D2_Retailer'!I19,'S3_D3_Retailer'!I19)</f>
        <v/>
      </c>
      <c r="F22" s="2">
        <f>CHOOSE(Inputs!$B$12,'S3_D1_Retailer'!J19,'S3_D2_Retailer'!J19,'S3_D3_Retailer'!J19)</f>
        <v/>
      </c>
      <c r="G22" s="2">
        <f>CHOOSE(Inputs!$B$12,'S3_D1_Retailer'!P19,'S3_D2_Retailer'!P19,'S3_D3_Retailer'!P19)</f>
        <v/>
      </c>
      <c r="H22" s="2">
        <f>CHOOSE(Inputs!$B$12,'S3_D1_Retailer'!K19,'S3_D2_Retailer'!K19,'S3_D3_Retailer'!K19)</f>
        <v/>
      </c>
      <c r="I22" s="2">
        <f>CHOOSE(Inputs!$B$12,'S3_D1_Retailer'!L19,'S3_D2_Retailer'!L19,'S3_D3_Retailer'!L19)</f>
        <v/>
      </c>
      <c r="J22" s="2">
        <f>CHOOSE(Inputs!$B$12,'S3_D1_Retailer'!M19,'S3_D2_Retailer'!M19,'S3_D3_Retailer'!M19)</f>
        <v/>
      </c>
      <c r="K22" s="2">
        <f>CHOOSE(Inputs!$B$12,'S3_D1_Retailer'!N19,'S3_D2_Retailer'!N19,'S3_D3_Retailer'!N19)</f>
        <v/>
      </c>
      <c r="L22" s="2">
        <f>CHOOSE(Inputs!$B$12,'S3_D1_Wholesaler'!C19,'S3_D2_Wholesaler'!C19,'S3_D3_Wholesaler'!C19)</f>
        <v/>
      </c>
      <c r="M22" s="2">
        <f>CHOOSE(Inputs!$B$12,'S3_D1_Wholesaler'!D19,'S3_D2_Wholesaler'!D19,'S3_D3_Wholesaler'!D19)</f>
        <v/>
      </c>
      <c r="N22" s="2">
        <f>CHOOSE(Inputs!$B$12,'S3_D1_Wholesaler'!H19,'S3_D2_Wholesaler'!H19,'S3_D3_Wholesaler'!H19)</f>
        <v/>
      </c>
      <c r="O22" s="2">
        <f>CHOOSE(Inputs!$B$12,'S3_D1_Wholesaler'!I19,'S3_D2_Wholesaler'!I19,'S3_D3_Wholesaler'!I19)</f>
        <v/>
      </c>
      <c r="P22" s="2">
        <f>CHOOSE(Inputs!$B$12,'S3_D1_Wholesaler'!J19,'S3_D2_Wholesaler'!J19,'S3_D3_Wholesaler'!J19)</f>
        <v/>
      </c>
      <c r="Q22" s="2">
        <f>CHOOSE(Inputs!$B$12,'S3_D1_Wholesaler'!P19,'S3_D2_Wholesaler'!P19,'S3_D3_Wholesaler'!P19)</f>
        <v/>
      </c>
      <c r="R22" s="2">
        <f>CHOOSE(Inputs!$B$12,'S3_D1_Wholesaler'!K19,'S3_D2_Wholesaler'!K19,'S3_D3_Wholesaler'!K19)</f>
        <v/>
      </c>
      <c r="S22" s="2">
        <f>CHOOSE(Inputs!$B$12,'S3_D1_Wholesaler'!L19,'S3_D2_Wholesaler'!L19,'S3_D3_Wholesaler'!L19)</f>
        <v/>
      </c>
      <c r="T22" s="2">
        <f>CHOOSE(Inputs!$B$12,'S3_D1_Wholesaler'!M19,'S3_D2_Wholesaler'!M19,'S3_D3_Wholesaler'!M19)</f>
        <v/>
      </c>
      <c r="U22" s="2">
        <f>CHOOSE(Inputs!$B$12,'S3_D1_Wholesaler'!N19,'S3_D2_Wholesaler'!N19,'S3_D3_Wholesaler'!N19)</f>
        <v/>
      </c>
      <c r="V22" s="2">
        <f>CHOOSE(Inputs!$B$12,'S3_D1_Distributor'!C19,'S3_D2_Distributor'!C19,'S3_D3_Distributor'!C19)</f>
        <v/>
      </c>
      <c r="W22" s="2">
        <f>CHOOSE(Inputs!$B$12,'S3_D1_Distributor'!D19,'S3_D2_Distributor'!D19,'S3_D3_Distributor'!D19)</f>
        <v/>
      </c>
      <c r="X22" s="2">
        <f>CHOOSE(Inputs!$B$12,'S3_D1_Distributor'!H19,'S3_D2_Distributor'!H19,'S3_D3_Distributor'!H19)</f>
        <v/>
      </c>
      <c r="Y22" s="2">
        <f>CHOOSE(Inputs!$B$12,'S3_D1_Distributor'!I19,'S3_D2_Distributor'!I19,'S3_D3_Distributor'!I19)</f>
        <v/>
      </c>
      <c r="Z22" s="2">
        <f>CHOOSE(Inputs!$B$12,'S3_D1_Distributor'!J19,'S3_D2_Distributor'!J19,'S3_D3_Distributor'!J19)</f>
        <v/>
      </c>
      <c r="AA22" s="2">
        <f>CHOOSE(Inputs!$B$12,'S3_D1_Distributor'!P19,'S3_D2_Distributor'!P19,'S3_D3_Distributor'!P19)</f>
        <v/>
      </c>
      <c r="AB22" s="2">
        <f>CHOOSE(Inputs!$B$12,'S3_D1_Distributor'!K19,'S3_D2_Distributor'!K19,'S3_D3_Distributor'!K19)</f>
        <v/>
      </c>
      <c r="AC22" s="2">
        <f>CHOOSE(Inputs!$B$12,'S3_D1_Distributor'!L19,'S3_D2_Distributor'!L19,'S3_D3_Distributor'!L19)</f>
        <v/>
      </c>
      <c r="AD22" s="2">
        <f>CHOOSE(Inputs!$B$12,'S3_D1_Distributor'!M19,'S3_D2_Distributor'!M19,'S3_D3_Distributor'!M19)</f>
        <v/>
      </c>
      <c r="AE22" s="2">
        <f>CHOOSE(Inputs!$B$12,'S3_D1_Distributor'!N19,'S3_D2_Distributor'!N19,'S3_D3_Distributor'!N19)</f>
        <v/>
      </c>
      <c r="AF22" s="2">
        <f>CHOOSE(Inputs!$B$12,'S3_D1_Factory'!C19,'S3_D2_Factory'!C19,'S3_D3_Factory'!C19)</f>
        <v/>
      </c>
      <c r="AG22" s="2">
        <f>CHOOSE(Inputs!$B$12,'S3_D1_Factory'!D19,'S3_D2_Factory'!D19,'S3_D3_Factory'!D19)</f>
        <v/>
      </c>
      <c r="AH22" s="2">
        <f>CHOOSE(Inputs!$B$12,'S3_D1_Factory'!H19,'S3_D2_Factory'!H19,'S3_D3_Factory'!H19)</f>
        <v/>
      </c>
      <c r="AI22" s="2">
        <f>CHOOSE(Inputs!$B$12,'S3_D1_Factory'!I19,'S3_D2_Factory'!I19,'S3_D3_Factory'!I19)</f>
        <v/>
      </c>
      <c r="AJ22" s="2">
        <f>CHOOSE(Inputs!$B$12,'S3_D1_Factory'!J19,'S3_D2_Factory'!J19,'S3_D3_Factory'!J19)</f>
        <v/>
      </c>
      <c r="AK22" s="2">
        <f>CHOOSE(Inputs!$B$12,'S3_D1_Factory'!P19,'S3_D2_Factory'!P19,'S3_D3_Factory'!P19)</f>
        <v/>
      </c>
      <c r="AL22" s="2">
        <f>CHOOSE(Inputs!$B$12,'S3_D1_Factory'!K19,'S3_D2_Factory'!K19,'S3_D3_Factory'!K19)</f>
        <v/>
      </c>
      <c r="AM22" s="2">
        <f>CHOOSE(Inputs!$B$12,'S3_D1_Factory'!L19,'S3_D2_Factory'!L19,'S3_D3_Factory'!L19)</f>
        <v/>
      </c>
      <c r="AN22" s="2">
        <f>CHOOSE(Inputs!$B$12,'S3_D1_Factory'!M19,'S3_D2_Factory'!M19,'S3_D3_Factory'!M19)</f>
        <v/>
      </c>
      <c r="AO22" s="2">
        <f>CHOOSE(Inputs!$B$12,'S3_D1_Factory'!N19,'S3_D2_Factory'!N19,'S3_D3_Factory'!N19)</f>
        <v/>
      </c>
      <c r="AP22" s="2">
        <f>SUM(H22,R22,AB22,AL22)</f>
        <v/>
      </c>
      <c r="AQ22" s="2">
        <f>SUM(I22,S22,AC22,AM22)</f>
        <v/>
      </c>
      <c r="AR22" s="2">
        <f>SUM(J22,T22,AD22,AN22)</f>
        <v/>
      </c>
      <c r="AS22" s="2">
        <f>AS21+AR22</f>
        <v/>
      </c>
    </row>
    <row r="23">
      <c r="A23" s="2" t="n">
        <v>19</v>
      </c>
      <c r="B23" s="2">
        <f>CHOOSE(Inputs!$B$12,'S3_D1_Retailer'!C20,'S3_D2_Retailer'!C20,'S3_D3_Retailer'!C20)</f>
        <v/>
      </c>
      <c r="C23" s="2">
        <f>CHOOSE(Inputs!$B$12,'S3_D1_Retailer'!D20,'S3_D2_Retailer'!D20,'S3_D3_Retailer'!D20)</f>
        <v/>
      </c>
      <c r="D23" s="2">
        <f>CHOOSE(Inputs!$B$12,'S3_D1_Retailer'!H20,'S3_D2_Retailer'!H20,'S3_D3_Retailer'!H20)</f>
        <v/>
      </c>
      <c r="E23" s="2">
        <f>CHOOSE(Inputs!$B$12,'S3_D1_Retailer'!I20,'S3_D2_Retailer'!I20,'S3_D3_Retailer'!I20)</f>
        <v/>
      </c>
      <c r="F23" s="2">
        <f>CHOOSE(Inputs!$B$12,'S3_D1_Retailer'!J20,'S3_D2_Retailer'!J20,'S3_D3_Retailer'!J20)</f>
        <v/>
      </c>
      <c r="G23" s="2">
        <f>CHOOSE(Inputs!$B$12,'S3_D1_Retailer'!P20,'S3_D2_Retailer'!P20,'S3_D3_Retailer'!P20)</f>
        <v/>
      </c>
      <c r="H23" s="2">
        <f>CHOOSE(Inputs!$B$12,'S3_D1_Retailer'!K20,'S3_D2_Retailer'!K20,'S3_D3_Retailer'!K20)</f>
        <v/>
      </c>
      <c r="I23" s="2">
        <f>CHOOSE(Inputs!$B$12,'S3_D1_Retailer'!L20,'S3_D2_Retailer'!L20,'S3_D3_Retailer'!L20)</f>
        <v/>
      </c>
      <c r="J23" s="2">
        <f>CHOOSE(Inputs!$B$12,'S3_D1_Retailer'!M20,'S3_D2_Retailer'!M20,'S3_D3_Retailer'!M20)</f>
        <v/>
      </c>
      <c r="K23" s="2">
        <f>CHOOSE(Inputs!$B$12,'S3_D1_Retailer'!N20,'S3_D2_Retailer'!N20,'S3_D3_Retailer'!N20)</f>
        <v/>
      </c>
      <c r="L23" s="2">
        <f>CHOOSE(Inputs!$B$12,'S3_D1_Wholesaler'!C20,'S3_D2_Wholesaler'!C20,'S3_D3_Wholesaler'!C20)</f>
        <v/>
      </c>
      <c r="M23" s="2">
        <f>CHOOSE(Inputs!$B$12,'S3_D1_Wholesaler'!D20,'S3_D2_Wholesaler'!D20,'S3_D3_Wholesaler'!D20)</f>
        <v/>
      </c>
      <c r="N23" s="2">
        <f>CHOOSE(Inputs!$B$12,'S3_D1_Wholesaler'!H20,'S3_D2_Wholesaler'!H20,'S3_D3_Wholesaler'!H20)</f>
        <v/>
      </c>
      <c r="O23" s="2">
        <f>CHOOSE(Inputs!$B$12,'S3_D1_Wholesaler'!I20,'S3_D2_Wholesaler'!I20,'S3_D3_Wholesaler'!I20)</f>
        <v/>
      </c>
      <c r="P23" s="2">
        <f>CHOOSE(Inputs!$B$12,'S3_D1_Wholesaler'!J20,'S3_D2_Wholesaler'!J20,'S3_D3_Wholesaler'!J20)</f>
        <v/>
      </c>
      <c r="Q23" s="2">
        <f>CHOOSE(Inputs!$B$12,'S3_D1_Wholesaler'!P20,'S3_D2_Wholesaler'!P20,'S3_D3_Wholesaler'!P20)</f>
        <v/>
      </c>
      <c r="R23" s="2">
        <f>CHOOSE(Inputs!$B$12,'S3_D1_Wholesaler'!K20,'S3_D2_Wholesaler'!K20,'S3_D3_Wholesaler'!K20)</f>
        <v/>
      </c>
      <c r="S23" s="2">
        <f>CHOOSE(Inputs!$B$12,'S3_D1_Wholesaler'!L20,'S3_D2_Wholesaler'!L20,'S3_D3_Wholesaler'!L20)</f>
        <v/>
      </c>
      <c r="T23" s="2">
        <f>CHOOSE(Inputs!$B$12,'S3_D1_Wholesaler'!M20,'S3_D2_Wholesaler'!M20,'S3_D3_Wholesaler'!M20)</f>
        <v/>
      </c>
      <c r="U23" s="2">
        <f>CHOOSE(Inputs!$B$12,'S3_D1_Wholesaler'!N20,'S3_D2_Wholesaler'!N20,'S3_D3_Wholesaler'!N20)</f>
        <v/>
      </c>
      <c r="V23" s="2">
        <f>CHOOSE(Inputs!$B$12,'S3_D1_Distributor'!C20,'S3_D2_Distributor'!C20,'S3_D3_Distributor'!C20)</f>
        <v/>
      </c>
      <c r="W23" s="2">
        <f>CHOOSE(Inputs!$B$12,'S3_D1_Distributor'!D20,'S3_D2_Distributor'!D20,'S3_D3_Distributor'!D20)</f>
        <v/>
      </c>
      <c r="X23" s="2">
        <f>CHOOSE(Inputs!$B$12,'S3_D1_Distributor'!H20,'S3_D2_Distributor'!H20,'S3_D3_Distributor'!H20)</f>
        <v/>
      </c>
      <c r="Y23" s="2">
        <f>CHOOSE(Inputs!$B$12,'S3_D1_Distributor'!I20,'S3_D2_Distributor'!I20,'S3_D3_Distributor'!I20)</f>
        <v/>
      </c>
      <c r="Z23" s="2">
        <f>CHOOSE(Inputs!$B$12,'S3_D1_Distributor'!J20,'S3_D2_Distributor'!J20,'S3_D3_Distributor'!J20)</f>
        <v/>
      </c>
      <c r="AA23" s="2">
        <f>CHOOSE(Inputs!$B$12,'S3_D1_Distributor'!P20,'S3_D2_Distributor'!P20,'S3_D3_Distributor'!P20)</f>
        <v/>
      </c>
      <c r="AB23" s="2">
        <f>CHOOSE(Inputs!$B$12,'S3_D1_Distributor'!K20,'S3_D2_Distributor'!K20,'S3_D3_Distributor'!K20)</f>
        <v/>
      </c>
      <c r="AC23" s="2">
        <f>CHOOSE(Inputs!$B$12,'S3_D1_Distributor'!L20,'S3_D2_Distributor'!L20,'S3_D3_Distributor'!L20)</f>
        <v/>
      </c>
      <c r="AD23" s="2">
        <f>CHOOSE(Inputs!$B$12,'S3_D1_Distributor'!M20,'S3_D2_Distributor'!M20,'S3_D3_Distributor'!M20)</f>
        <v/>
      </c>
      <c r="AE23" s="2">
        <f>CHOOSE(Inputs!$B$12,'S3_D1_Distributor'!N20,'S3_D2_Distributor'!N20,'S3_D3_Distributor'!N20)</f>
        <v/>
      </c>
      <c r="AF23" s="2">
        <f>CHOOSE(Inputs!$B$12,'S3_D1_Factory'!C20,'S3_D2_Factory'!C20,'S3_D3_Factory'!C20)</f>
        <v/>
      </c>
      <c r="AG23" s="2">
        <f>CHOOSE(Inputs!$B$12,'S3_D1_Factory'!D20,'S3_D2_Factory'!D20,'S3_D3_Factory'!D20)</f>
        <v/>
      </c>
      <c r="AH23" s="2">
        <f>CHOOSE(Inputs!$B$12,'S3_D1_Factory'!H20,'S3_D2_Factory'!H20,'S3_D3_Factory'!H20)</f>
        <v/>
      </c>
      <c r="AI23" s="2">
        <f>CHOOSE(Inputs!$B$12,'S3_D1_Factory'!I20,'S3_D2_Factory'!I20,'S3_D3_Factory'!I20)</f>
        <v/>
      </c>
      <c r="AJ23" s="2">
        <f>CHOOSE(Inputs!$B$12,'S3_D1_Factory'!J20,'S3_D2_Factory'!J20,'S3_D3_Factory'!J20)</f>
        <v/>
      </c>
      <c r="AK23" s="2">
        <f>CHOOSE(Inputs!$B$12,'S3_D1_Factory'!P20,'S3_D2_Factory'!P20,'S3_D3_Factory'!P20)</f>
        <v/>
      </c>
      <c r="AL23" s="2">
        <f>CHOOSE(Inputs!$B$12,'S3_D1_Factory'!K20,'S3_D2_Factory'!K20,'S3_D3_Factory'!K20)</f>
        <v/>
      </c>
      <c r="AM23" s="2">
        <f>CHOOSE(Inputs!$B$12,'S3_D1_Factory'!L20,'S3_D2_Factory'!L20,'S3_D3_Factory'!L20)</f>
        <v/>
      </c>
      <c r="AN23" s="2">
        <f>CHOOSE(Inputs!$B$12,'S3_D1_Factory'!M20,'S3_D2_Factory'!M20,'S3_D3_Factory'!M20)</f>
        <v/>
      </c>
      <c r="AO23" s="2">
        <f>CHOOSE(Inputs!$B$12,'S3_D1_Factory'!N20,'S3_D2_Factory'!N20,'S3_D3_Factory'!N20)</f>
        <v/>
      </c>
      <c r="AP23" s="2">
        <f>SUM(H23,R23,AB23,AL23)</f>
        <v/>
      </c>
      <c r="AQ23" s="2">
        <f>SUM(I23,S23,AC23,AM23)</f>
        <v/>
      </c>
      <c r="AR23" s="2">
        <f>SUM(J23,T23,AD23,AN23)</f>
        <v/>
      </c>
      <c r="AS23" s="2">
        <f>AS22+AR23</f>
        <v/>
      </c>
    </row>
    <row r="24">
      <c r="A24" s="2" t="n">
        <v>20</v>
      </c>
      <c r="B24" s="2">
        <f>CHOOSE(Inputs!$B$12,'S3_D1_Retailer'!C21,'S3_D2_Retailer'!C21,'S3_D3_Retailer'!C21)</f>
        <v/>
      </c>
      <c r="C24" s="2">
        <f>CHOOSE(Inputs!$B$12,'S3_D1_Retailer'!D21,'S3_D2_Retailer'!D21,'S3_D3_Retailer'!D21)</f>
        <v/>
      </c>
      <c r="D24" s="2">
        <f>CHOOSE(Inputs!$B$12,'S3_D1_Retailer'!H21,'S3_D2_Retailer'!H21,'S3_D3_Retailer'!H21)</f>
        <v/>
      </c>
      <c r="E24" s="2">
        <f>CHOOSE(Inputs!$B$12,'S3_D1_Retailer'!I21,'S3_D2_Retailer'!I21,'S3_D3_Retailer'!I21)</f>
        <v/>
      </c>
      <c r="F24" s="2">
        <f>CHOOSE(Inputs!$B$12,'S3_D1_Retailer'!J21,'S3_D2_Retailer'!J21,'S3_D3_Retailer'!J21)</f>
        <v/>
      </c>
      <c r="G24" s="2">
        <f>CHOOSE(Inputs!$B$12,'S3_D1_Retailer'!P21,'S3_D2_Retailer'!P21,'S3_D3_Retailer'!P21)</f>
        <v/>
      </c>
      <c r="H24" s="2">
        <f>CHOOSE(Inputs!$B$12,'S3_D1_Retailer'!K21,'S3_D2_Retailer'!K21,'S3_D3_Retailer'!K21)</f>
        <v/>
      </c>
      <c r="I24" s="2">
        <f>CHOOSE(Inputs!$B$12,'S3_D1_Retailer'!L21,'S3_D2_Retailer'!L21,'S3_D3_Retailer'!L21)</f>
        <v/>
      </c>
      <c r="J24" s="2">
        <f>CHOOSE(Inputs!$B$12,'S3_D1_Retailer'!M21,'S3_D2_Retailer'!M21,'S3_D3_Retailer'!M21)</f>
        <v/>
      </c>
      <c r="K24" s="2">
        <f>CHOOSE(Inputs!$B$12,'S3_D1_Retailer'!N21,'S3_D2_Retailer'!N21,'S3_D3_Retailer'!N21)</f>
        <v/>
      </c>
      <c r="L24" s="2">
        <f>CHOOSE(Inputs!$B$12,'S3_D1_Wholesaler'!C21,'S3_D2_Wholesaler'!C21,'S3_D3_Wholesaler'!C21)</f>
        <v/>
      </c>
      <c r="M24" s="2">
        <f>CHOOSE(Inputs!$B$12,'S3_D1_Wholesaler'!D21,'S3_D2_Wholesaler'!D21,'S3_D3_Wholesaler'!D21)</f>
        <v/>
      </c>
      <c r="N24" s="2">
        <f>CHOOSE(Inputs!$B$12,'S3_D1_Wholesaler'!H21,'S3_D2_Wholesaler'!H21,'S3_D3_Wholesaler'!H21)</f>
        <v/>
      </c>
      <c r="O24" s="2">
        <f>CHOOSE(Inputs!$B$12,'S3_D1_Wholesaler'!I21,'S3_D2_Wholesaler'!I21,'S3_D3_Wholesaler'!I21)</f>
        <v/>
      </c>
      <c r="P24" s="2">
        <f>CHOOSE(Inputs!$B$12,'S3_D1_Wholesaler'!J21,'S3_D2_Wholesaler'!J21,'S3_D3_Wholesaler'!J21)</f>
        <v/>
      </c>
      <c r="Q24" s="2">
        <f>CHOOSE(Inputs!$B$12,'S3_D1_Wholesaler'!P21,'S3_D2_Wholesaler'!P21,'S3_D3_Wholesaler'!P21)</f>
        <v/>
      </c>
      <c r="R24" s="2">
        <f>CHOOSE(Inputs!$B$12,'S3_D1_Wholesaler'!K21,'S3_D2_Wholesaler'!K21,'S3_D3_Wholesaler'!K21)</f>
        <v/>
      </c>
      <c r="S24" s="2">
        <f>CHOOSE(Inputs!$B$12,'S3_D1_Wholesaler'!L21,'S3_D2_Wholesaler'!L21,'S3_D3_Wholesaler'!L21)</f>
        <v/>
      </c>
      <c r="T24" s="2">
        <f>CHOOSE(Inputs!$B$12,'S3_D1_Wholesaler'!M21,'S3_D2_Wholesaler'!M21,'S3_D3_Wholesaler'!M21)</f>
        <v/>
      </c>
      <c r="U24" s="2">
        <f>CHOOSE(Inputs!$B$12,'S3_D1_Wholesaler'!N21,'S3_D2_Wholesaler'!N21,'S3_D3_Wholesaler'!N21)</f>
        <v/>
      </c>
      <c r="V24" s="2">
        <f>CHOOSE(Inputs!$B$12,'S3_D1_Distributor'!C21,'S3_D2_Distributor'!C21,'S3_D3_Distributor'!C21)</f>
        <v/>
      </c>
      <c r="W24" s="2">
        <f>CHOOSE(Inputs!$B$12,'S3_D1_Distributor'!D21,'S3_D2_Distributor'!D21,'S3_D3_Distributor'!D21)</f>
        <v/>
      </c>
      <c r="X24" s="2">
        <f>CHOOSE(Inputs!$B$12,'S3_D1_Distributor'!H21,'S3_D2_Distributor'!H21,'S3_D3_Distributor'!H21)</f>
        <v/>
      </c>
      <c r="Y24" s="2">
        <f>CHOOSE(Inputs!$B$12,'S3_D1_Distributor'!I21,'S3_D2_Distributor'!I21,'S3_D3_Distributor'!I21)</f>
        <v/>
      </c>
      <c r="Z24" s="2">
        <f>CHOOSE(Inputs!$B$12,'S3_D1_Distributor'!J21,'S3_D2_Distributor'!J21,'S3_D3_Distributor'!J21)</f>
        <v/>
      </c>
      <c r="AA24" s="2">
        <f>CHOOSE(Inputs!$B$12,'S3_D1_Distributor'!P21,'S3_D2_Distributor'!P21,'S3_D3_Distributor'!P21)</f>
        <v/>
      </c>
      <c r="AB24" s="2">
        <f>CHOOSE(Inputs!$B$12,'S3_D1_Distributor'!K21,'S3_D2_Distributor'!K21,'S3_D3_Distributor'!K21)</f>
        <v/>
      </c>
      <c r="AC24" s="2">
        <f>CHOOSE(Inputs!$B$12,'S3_D1_Distributor'!L21,'S3_D2_Distributor'!L21,'S3_D3_Distributor'!L21)</f>
        <v/>
      </c>
      <c r="AD24" s="2">
        <f>CHOOSE(Inputs!$B$12,'S3_D1_Distributor'!M21,'S3_D2_Distributor'!M21,'S3_D3_Distributor'!M21)</f>
        <v/>
      </c>
      <c r="AE24" s="2">
        <f>CHOOSE(Inputs!$B$12,'S3_D1_Distributor'!N21,'S3_D2_Distributor'!N21,'S3_D3_Distributor'!N21)</f>
        <v/>
      </c>
      <c r="AF24" s="2">
        <f>CHOOSE(Inputs!$B$12,'S3_D1_Factory'!C21,'S3_D2_Factory'!C21,'S3_D3_Factory'!C21)</f>
        <v/>
      </c>
      <c r="AG24" s="2">
        <f>CHOOSE(Inputs!$B$12,'S3_D1_Factory'!D21,'S3_D2_Factory'!D21,'S3_D3_Factory'!D21)</f>
        <v/>
      </c>
      <c r="AH24" s="2">
        <f>CHOOSE(Inputs!$B$12,'S3_D1_Factory'!H21,'S3_D2_Factory'!H21,'S3_D3_Factory'!H21)</f>
        <v/>
      </c>
      <c r="AI24" s="2">
        <f>CHOOSE(Inputs!$B$12,'S3_D1_Factory'!I21,'S3_D2_Factory'!I21,'S3_D3_Factory'!I21)</f>
        <v/>
      </c>
      <c r="AJ24" s="2">
        <f>CHOOSE(Inputs!$B$12,'S3_D1_Factory'!J21,'S3_D2_Factory'!J21,'S3_D3_Factory'!J21)</f>
        <v/>
      </c>
      <c r="AK24" s="2">
        <f>CHOOSE(Inputs!$B$12,'S3_D1_Factory'!P21,'S3_D2_Factory'!P21,'S3_D3_Factory'!P21)</f>
        <v/>
      </c>
      <c r="AL24" s="2">
        <f>CHOOSE(Inputs!$B$12,'S3_D1_Factory'!K21,'S3_D2_Factory'!K21,'S3_D3_Factory'!K21)</f>
        <v/>
      </c>
      <c r="AM24" s="2">
        <f>CHOOSE(Inputs!$B$12,'S3_D1_Factory'!L21,'S3_D2_Factory'!L21,'S3_D3_Factory'!L21)</f>
        <v/>
      </c>
      <c r="AN24" s="2">
        <f>CHOOSE(Inputs!$B$12,'S3_D1_Factory'!M21,'S3_D2_Factory'!M21,'S3_D3_Factory'!M21)</f>
        <v/>
      </c>
      <c r="AO24" s="2">
        <f>CHOOSE(Inputs!$B$12,'S3_D1_Factory'!N21,'S3_D2_Factory'!N21,'S3_D3_Factory'!N21)</f>
        <v/>
      </c>
      <c r="AP24" s="2">
        <f>SUM(H24,R24,AB24,AL24)</f>
        <v/>
      </c>
      <c r="AQ24" s="2">
        <f>SUM(I24,S24,AC24,AM24)</f>
        <v/>
      </c>
      <c r="AR24" s="2">
        <f>SUM(J24,T24,AD24,AN24)</f>
        <v/>
      </c>
      <c r="AS24" s="2">
        <f>AS23+AR24</f>
        <v/>
      </c>
    </row>
    <row r="25">
      <c r="A25" s="2" t="n">
        <v>21</v>
      </c>
      <c r="B25" s="2">
        <f>CHOOSE(Inputs!$B$12,'S3_D1_Retailer'!C22,'S3_D2_Retailer'!C22,'S3_D3_Retailer'!C22)</f>
        <v/>
      </c>
      <c r="C25" s="2">
        <f>CHOOSE(Inputs!$B$12,'S3_D1_Retailer'!D22,'S3_D2_Retailer'!D22,'S3_D3_Retailer'!D22)</f>
        <v/>
      </c>
      <c r="D25" s="2">
        <f>CHOOSE(Inputs!$B$12,'S3_D1_Retailer'!H22,'S3_D2_Retailer'!H22,'S3_D3_Retailer'!H22)</f>
        <v/>
      </c>
      <c r="E25" s="2">
        <f>CHOOSE(Inputs!$B$12,'S3_D1_Retailer'!I22,'S3_D2_Retailer'!I22,'S3_D3_Retailer'!I22)</f>
        <v/>
      </c>
      <c r="F25" s="2">
        <f>CHOOSE(Inputs!$B$12,'S3_D1_Retailer'!J22,'S3_D2_Retailer'!J22,'S3_D3_Retailer'!J22)</f>
        <v/>
      </c>
      <c r="G25" s="2">
        <f>CHOOSE(Inputs!$B$12,'S3_D1_Retailer'!P22,'S3_D2_Retailer'!P22,'S3_D3_Retailer'!P22)</f>
        <v/>
      </c>
      <c r="H25" s="2">
        <f>CHOOSE(Inputs!$B$12,'S3_D1_Retailer'!K22,'S3_D2_Retailer'!K22,'S3_D3_Retailer'!K22)</f>
        <v/>
      </c>
      <c r="I25" s="2">
        <f>CHOOSE(Inputs!$B$12,'S3_D1_Retailer'!L22,'S3_D2_Retailer'!L22,'S3_D3_Retailer'!L22)</f>
        <v/>
      </c>
      <c r="J25" s="2">
        <f>CHOOSE(Inputs!$B$12,'S3_D1_Retailer'!M22,'S3_D2_Retailer'!M22,'S3_D3_Retailer'!M22)</f>
        <v/>
      </c>
      <c r="K25" s="2">
        <f>CHOOSE(Inputs!$B$12,'S3_D1_Retailer'!N22,'S3_D2_Retailer'!N22,'S3_D3_Retailer'!N22)</f>
        <v/>
      </c>
      <c r="L25" s="2">
        <f>CHOOSE(Inputs!$B$12,'S3_D1_Wholesaler'!C22,'S3_D2_Wholesaler'!C22,'S3_D3_Wholesaler'!C22)</f>
        <v/>
      </c>
      <c r="M25" s="2">
        <f>CHOOSE(Inputs!$B$12,'S3_D1_Wholesaler'!D22,'S3_D2_Wholesaler'!D22,'S3_D3_Wholesaler'!D22)</f>
        <v/>
      </c>
      <c r="N25" s="2">
        <f>CHOOSE(Inputs!$B$12,'S3_D1_Wholesaler'!H22,'S3_D2_Wholesaler'!H22,'S3_D3_Wholesaler'!H22)</f>
        <v/>
      </c>
      <c r="O25" s="2">
        <f>CHOOSE(Inputs!$B$12,'S3_D1_Wholesaler'!I22,'S3_D2_Wholesaler'!I22,'S3_D3_Wholesaler'!I22)</f>
        <v/>
      </c>
      <c r="P25" s="2">
        <f>CHOOSE(Inputs!$B$12,'S3_D1_Wholesaler'!J22,'S3_D2_Wholesaler'!J22,'S3_D3_Wholesaler'!J22)</f>
        <v/>
      </c>
      <c r="Q25" s="2">
        <f>CHOOSE(Inputs!$B$12,'S3_D1_Wholesaler'!P22,'S3_D2_Wholesaler'!P22,'S3_D3_Wholesaler'!P22)</f>
        <v/>
      </c>
      <c r="R25" s="2">
        <f>CHOOSE(Inputs!$B$12,'S3_D1_Wholesaler'!K22,'S3_D2_Wholesaler'!K22,'S3_D3_Wholesaler'!K22)</f>
        <v/>
      </c>
      <c r="S25" s="2">
        <f>CHOOSE(Inputs!$B$12,'S3_D1_Wholesaler'!L22,'S3_D2_Wholesaler'!L22,'S3_D3_Wholesaler'!L22)</f>
        <v/>
      </c>
      <c r="T25" s="2">
        <f>CHOOSE(Inputs!$B$12,'S3_D1_Wholesaler'!M22,'S3_D2_Wholesaler'!M22,'S3_D3_Wholesaler'!M22)</f>
        <v/>
      </c>
      <c r="U25" s="2">
        <f>CHOOSE(Inputs!$B$12,'S3_D1_Wholesaler'!N22,'S3_D2_Wholesaler'!N22,'S3_D3_Wholesaler'!N22)</f>
        <v/>
      </c>
      <c r="V25" s="2">
        <f>CHOOSE(Inputs!$B$12,'S3_D1_Distributor'!C22,'S3_D2_Distributor'!C22,'S3_D3_Distributor'!C22)</f>
        <v/>
      </c>
      <c r="W25" s="2">
        <f>CHOOSE(Inputs!$B$12,'S3_D1_Distributor'!D22,'S3_D2_Distributor'!D22,'S3_D3_Distributor'!D22)</f>
        <v/>
      </c>
      <c r="X25" s="2">
        <f>CHOOSE(Inputs!$B$12,'S3_D1_Distributor'!H22,'S3_D2_Distributor'!H22,'S3_D3_Distributor'!H22)</f>
        <v/>
      </c>
      <c r="Y25" s="2">
        <f>CHOOSE(Inputs!$B$12,'S3_D1_Distributor'!I22,'S3_D2_Distributor'!I22,'S3_D3_Distributor'!I22)</f>
        <v/>
      </c>
      <c r="Z25" s="2">
        <f>CHOOSE(Inputs!$B$12,'S3_D1_Distributor'!J22,'S3_D2_Distributor'!J22,'S3_D3_Distributor'!J22)</f>
        <v/>
      </c>
      <c r="AA25" s="2">
        <f>CHOOSE(Inputs!$B$12,'S3_D1_Distributor'!P22,'S3_D2_Distributor'!P22,'S3_D3_Distributor'!P22)</f>
        <v/>
      </c>
      <c r="AB25" s="2">
        <f>CHOOSE(Inputs!$B$12,'S3_D1_Distributor'!K22,'S3_D2_Distributor'!K22,'S3_D3_Distributor'!K22)</f>
        <v/>
      </c>
      <c r="AC25" s="2">
        <f>CHOOSE(Inputs!$B$12,'S3_D1_Distributor'!L22,'S3_D2_Distributor'!L22,'S3_D3_Distributor'!L22)</f>
        <v/>
      </c>
      <c r="AD25" s="2">
        <f>CHOOSE(Inputs!$B$12,'S3_D1_Distributor'!M22,'S3_D2_Distributor'!M22,'S3_D3_Distributor'!M22)</f>
        <v/>
      </c>
      <c r="AE25" s="2">
        <f>CHOOSE(Inputs!$B$12,'S3_D1_Distributor'!N22,'S3_D2_Distributor'!N22,'S3_D3_Distributor'!N22)</f>
        <v/>
      </c>
      <c r="AF25" s="2">
        <f>CHOOSE(Inputs!$B$12,'S3_D1_Factory'!C22,'S3_D2_Factory'!C22,'S3_D3_Factory'!C22)</f>
        <v/>
      </c>
      <c r="AG25" s="2">
        <f>CHOOSE(Inputs!$B$12,'S3_D1_Factory'!D22,'S3_D2_Factory'!D22,'S3_D3_Factory'!D22)</f>
        <v/>
      </c>
      <c r="AH25" s="2">
        <f>CHOOSE(Inputs!$B$12,'S3_D1_Factory'!H22,'S3_D2_Factory'!H22,'S3_D3_Factory'!H22)</f>
        <v/>
      </c>
      <c r="AI25" s="2">
        <f>CHOOSE(Inputs!$B$12,'S3_D1_Factory'!I22,'S3_D2_Factory'!I22,'S3_D3_Factory'!I22)</f>
        <v/>
      </c>
      <c r="AJ25" s="2">
        <f>CHOOSE(Inputs!$B$12,'S3_D1_Factory'!J22,'S3_D2_Factory'!J22,'S3_D3_Factory'!J22)</f>
        <v/>
      </c>
      <c r="AK25" s="2">
        <f>CHOOSE(Inputs!$B$12,'S3_D1_Factory'!P22,'S3_D2_Factory'!P22,'S3_D3_Factory'!P22)</f>
        <v/>
      </c>
      <c r="AL25" s="2">
        <f>CHOOSE(Inputs!$B$12,'S3_D1_Factory'!K22,'S3_D2_Factory'!K22,'S3_D3_Factory'!K22)</f>
        <v/>
      </c>
      <c r="AM25" s="2">
        <f>CHOOSE(Inputs!$B$12,'S3_D1_Factory'!L22,'S3_D2_Factory'!L22,'S3_D3_Factory'!L22)</f>
        <v/>
      </c>
      <c r="AN25" s="2">
        <f>CHOOSE(Inputs!$B$12,'S3_D1_Factory'!M22,'S3_D2_Factory'!M22,'S3_D3_Factory'!M22)</f>
        <v/>
      </c>
      <c r="AO25" s="2">
        <f>CHOOSE(Inputs!$B$12,'S3_D1_Factory'!N22,'S3_D2_Factory'!N22,'S3_D3_Factory'!N22)</f>
        <v/>
      </c>
      <c r="AP25" s="2">
        <f>SUM(H25,R25,AB25,AL25)</f>
        <v/>
      </c>
      <c r="AQ25" s="2">
        <f>SUM(I25,S25,AC25,AM25)</f>
        <v/>
      </c>
      <c r="AR25" s="2">
        <f>SUM(J25,T25,AD25,AN25)</f>
        <v/>
      </c>
      <c r="AS25" s="2">
        <f>AS24+AR25</f>
        <v/>
      </c>
    </row>
    <row r="26">
      <c r="A26" s="2" t="n">
        <v>22</v>
      </c>
      <c r="B26" s="2">
        <f>CHOOSE(Inputs!$B$12,'S3_D1_Retailer'!C23,'S3_D2_Retailer'!C23,'S3_D3_Retailer'!C23)</f>
        <v/>
      </c>
      <c r="C26" s="2">
        <f>CHOOSE(Inputs!$B$12,'S3_D1_Retailer'!D23,'S3_D2_Retailer'!D23,'S3_D3_Retailer'!D23)</f>
        <v/>
      </c>
      <c r="D26" s="2">
        <f>CHOOSE(Inputs!$B$12,'S3_D1_Retailer'!H23,'S3_D2_Retailer'!H23,'S3_D3_Retailer'!H23)</f>
        <v/>
      </c>
      <c r="E26" s="2">
        <f>CHOOSE(Inputs!$B$12,'S3_D1_Retailer'!I23,'S3_D2_Retailer'!I23,'S3_D3_Retailer'!I23)</f>
        <v/>
      </c>
      <c r="F26" s="2">
        <f>CHOOSE(Inputs!$B$12,'S3_D1_Retailer'!J23,'S3_D2_Retailer'!J23,'S3_D3_Retailer'!J23)</f>
        <v/>
      </c>
      <c r="G26" s="2">
        <f>CHOOSE(Inputs!$B$12,'S3_D1_Retailer'!P23,'S3_D2_Retailer'!P23,'S3_D3_Retailer'!P23)</f>
        <v/>
      </c>
      <c r="H26" s="2">
        <f>CHOOSE(Inputs!$B$12,'S3_D1_Retailer'!K23,'S3_D2_Retailer'!K23,'S3_D3_Retailer'!K23)</f>
        <v/>
      </c>
      <c r="I26" s="2">
        <f>CHOOSE(Inputs!$B$12,'S3_D1_Retailer'!L23,'S3_D2_Retailer'!L23,'S3_D3_Retailer'!L23)</f>
        <v/>
      </c>
      <c r="J26" s="2">
        <f>CHOOSE(Inputs!$B$12,'S3_D1_Retailer'!M23,'S3_D2_Retailer'!M23,'S3_D3_Retailer'!M23)</f>
        <v/>
      </c>
      <c r="K26" s="2">
        <f>CHOOSE(Inputs!$B$12,'S3_D1_Retailer'!N23,'S3_D2_Retailer'!N23,'S3_D3_Retailer'!N23)</f>
        <v/>
      </c>
      <c r="L26" s="2">
        <f>CHOOSE(Inputs!$B$12,'S3_D1_Wholesaler'!C23,'S3_D2_Wholesaler'!C23,'S3_D3_Wholesaler'!C23)</f>
        <v/>
      </c>
      <c r="M26" s="2">
        <f>CHOOSE(Inputs!$B$12,'S3_D1_Wholesaler'!D23,'S3_D2_Wholesaler'!D23,'S3_D3_Wholesaler'!D23)</f>
        <v/>
      </c>
      <c r="N26" s="2">
        <f>CHOOSE(Inputs!$B$12,'S3_D1_Wholesaler'!H23,'S3_D2_Wholesaler'!H23,'S3_D3_Wholesaler'!H23)</f>
        <v/>
      </c>
      <c r="O26" s="2">
        <f>CHOOSE(Inputs!$B$12,'S3_D1_Wholesaler'!I23,'S3_D2_Wholesaler'!I23,'S3_D3_Wholesaler'!I23)</f>
        <v/>
      </c>
      <c r="P26" s="2">
        <f>CHOOSE(Inputs!$B$12,'S3_D1_Wholesaler'!J23,'S3_D2_Wholesaler'!J23,'S3_D3_Wholesaler'!J23)</f>
        <v/>
      </c>
      <c r="Q26" s="2">
        <f>CHOOSE(Inputs!$B$12,'S3_D1_Wholesaler'!P23,'S3_D2_Wholesaler'!P23,'S3_D3_Wholesaler'!P23)</f>
        <v/>
      </c>
      <c r="R26" s="2">
        <f>CHOOSE(Inputs!$B$12,'S3_D1_Wholesaler'!K23,'S3_D2_Wholesaler'!K23,'S3_D3_Wholesaler'!K23)</f>
        <v/>
      </c>
      <c r="S26" s="2">
        <f>CHOOSE(Inputs!$B$12,'S3_D1_Wholesaler'!L23,'S3_D2_Wholesaler'!L23,'S3_D3_Wholesaler'!L23)</f>
        <v/>
      </c>
      <c r="T26" s="2">
        <f>CHOOSE(Inputs!$B$12,'S3_D1_Wholesaler'!M23,'S3_D2_Wholesaler'!M23,'S3_D3_Wholesaler'!M23)</f>
        <v/>
      </c>
      <c r="U26" s="2">
        <f>CHOOSE(Inputs!$B$12,'S3_D1_Wholesaler'!N23,'S3_D2_Wholesaler'!N23,'S3_D3_Wholesaler'!N23)</f>
        <v/>
      </c>
      <c r="V26" s="2">
        <f>CHOOSE(Inputs!$B$12,'S3_D1_Distributor'!C23,'S3_D2_Distributor'!C23,'S3_D3_Distributor'!C23)</f>
        <v/>
      </c>
      <c r="W26" s="2">
        <f>CHOOSE(Inputs!$B$12,'S3_D1_Distributor'!D23,'S3_D2_Distributor'!D23,'S3_D3_Distributor'!D23)</f>
        <v/>
      </c>
      <c r="X26" s="2">
        <f>CHOOSE(Inputs!$B$12,'S3_D1_Distributor'!H23,'S3_D2_Distributor'!H23,'S3_D3_Distributor'!H23)</f>
        <v/>
      </c>
      <c r="Y26" s="2">
        <f>CHOOSE(Inputs!$B$12,'S3_D1_Distributor'!I23,'S3_D2_Distributor'!I23,'S3_D3_Distributor'!I23)</f>
        <v/>
      </c>
      <c r="Z26" s="2">
        <f>CHOOSE(Inputs!$B$12,'S3_D1_Distributor'!J23,'S3_D2_Distributor'!J23,'S3_D3_Distributor'!J23)</f>
        <v/>
      </c>
      <c r="AA26" s="2">
        <f>CHOOSE(Inputs!$B$12,'S3_D1_Distributor'!P23,'S3_D2_Distributor'!P23,'S3_D3_Distributor'!P23)</f>
        <v/>
      </c>
      <c r="AB26" s="2">
        <f>CHOOSE(Inputs!$B$12,'S3_D1_Distributor'!K23,'S3_D2_Distributor'!K23,'S3_D3_Distributor'!K23)</f>
        <v/>
      </c>
      <c r="AC26" s="2">
        <f>CHOOSE(Inputs!$B$12,'S3_D1_Distributor'!L23,'S3_D2_Distributor'!L23,'S3_D3_Distributor'!L23)</f>
        <v/>
      </c>
      <c r="AD26" s="2">
        <f>CHOOSE(Inputs!$B$12,'S3_D1_Distributor'!M23,'S3_D2_Distributor'!M23,'S3_D3_Distributor'!M23)</f>
        <v/>
      </c>
      <c r="AE26" s="2">
        <f>CHOOSE(Inputs!$B$12,'S3_D1_Distributor'!N23,'S3_D2_Distributor'!N23,'S3_D3_Distributor'!N23)</f>
        <v/>
      </c>
      <c r="AF26" s="2">
        <f>CHOOSE(Inputs!$B$12,'S3_D1_Factory'!C23,'S3_D2_Factory'!C23,'S3_D3_Factory'!C23)</f>
        <v/>
      </c>
      <c r="AG26" s="2">
        <f>CHOOSE(Inputs!$B$12,'S3_D1_Factory'!D23,'S3_D2_Factory'!D23,'S3_D3_Factory'!D23)</f>
        <v/>
      </c>
      <c r="AH26" s="2">
        <f>CHOOSE(Inputs!$B$12,'S3_D1_Factory'!H23,'S3_D2_Factory'!H23,'S3_D3_Factory'!H23)</f>
        <v/>
      </c>
      <c r="AI26" s="2">
        <f>CHOOSE(Inputs!$B$12,'S3_D1_Factory'!I23,'S3_D2_Factory'!I23,'S3_D3_Factory'!I23)</f>
        <v/>
      </c>
      <c r="AJ26" s="2">
        <f>CHOOSE(Inputs!$B$12,'S3_D1_Factory'!J23,'S3_D2_Factory'!J23,'S3_D3_Factory'!J23)</f>
        <v/>
      </c>
      <c r="AK26" s="2">
        <f>CHOOSE(Inputs!$B$12,'S3_D1_Factory'!P23,'S3_D2_Factory'!P23,'S3_D3_Factory'!P23)</f>
        <v/>
      </c>
      <c r="AL26" s="2">
        <f>CHOOSE(Inputs!$B$12,'S3_D1_Factory'!K23,'S3_D2_Factory'!K23,'S3_D3_Factory'!K23)</f>
        <v/>
      </c>
      <c r="AM26" s="2">
        <f>CHOOSE(Inputs!$B$12,'S3_D1_Factory'!L23,'S3_D2_Factory'!L23,'S3_D3_Factory'!L23)</f>
        <v/>
      </c>
      <c r="AN26" s="2">
        <f>CHOOSE(Inputs!$B$12,'S3_D1_Factory'!M23,'S3_D2_Factory'!M23,'S3_D3_Factory'!M23)</f>
        <v/>
      </c>
      <c r="AO26" s="2">
        <f>CHOOSE(Inputs!$B$12,'S3_D1_Factory'!N23,'S3_D2_Factory'!N23,'S3_D3_Factory'!N23)</f>
        <v/>
      </c>
      <c r="AP26" s="2">
        <f>SUM(H26,R26,AB26,AL26)</f>
        <v/>
      </c>
      <c r="AQ26" s="2">
        <f>SUM(I26,S26,AC26,AM26)</f>
        <v/>
      </c>
      <c r="AR26" s="2">
        <f>SUM(J26,T26,AD26,AN26)</f>
        <v/>
      </c>
      <c r="AS26" s="2">
        <f>AS25+AR26</f>
        <v/>
      </c>
    </row>
    <row r="27">
      <c r="A27" s="2" t="n">
        <v>23</v>
      </c>
      <c r="B27" s="2">
        <f>CHOOSE(Inputs!$B$12,'S3_D1_Retailer'!C24,'S3_D2_Retailer'!C24,'S3_D3_Retailer'!C24)</f>
        <v/>
      </c>
      <c r="C27" s="2">
        <f>CHOOSE(Inputs!$B$12,'S3_D1_Retailer'!D24,'S3_D2_Retailer'!D24,'S3_D3_Retailer'!D24)</f>
        <v/>
      </c>
      <c r="D27" s="2">
        <f>CHOOSE(Inputs!$B$12,'S3_D1_Retailer'!H24,'S3_D2_Retailer'!H24,'S3_D3_Retailer'!H24)</f>
        <v/>
      </c>
      <c r="E27" s="2">
        <f>CHOOSE(Inputs!$B$12,'S3_D1_Retailer'!I24,'S3_D2_Retailer'!I24,'S3_D3_Retailer'!I24)</f>
        <v/>
      </c>
      <c r="F27" s="2">
        <f>CHOOSE(Inputs!$B$12,'S3_D1_Retailer'!J24,'S3_D2_Retailer'!J24,'S3_D3_Retailer'!J24)</f>
        <v/>
      </c>
      <c r="G27" s="2">
        <f>CHOOSE(Inputs!$B$12,'S3_D1_Retailer'!P24,'S3_D2_Retailer'!P24,'S3_D3_Retailer'!P24)</f>
        <v/>
      </c>
      <c r="H27" s="2">
        <f>CHOOSE(Inputs!$B$12,'S3_D1_Retailer'!K24,'S3_D2_Retailer'!K24,'S3_D3_Retailer'!K24)</f>
        <v/>
      </c>
      <c r="I27" s="2">
        <f>CHOOSE(Inputs!$B$12,'S3_D1_Retailer'!L24,'S3_D2_Retailer'!L24,'S3_D3_Retailer'!L24)</f>
        <v/>
      </c>
      <c r="J27" s="2">
        <f>CHOOSE(Inputs!$B$12,'S3_D1_Retailer'!M24,'S3_D2_Retailer'!M24,'S3_D3_Retailer'!M24)</f>
        <v/>
      </c>
      <c r="K27" s="2">
        <f>CHOOSE(Inputs!$B$12,'S3_D1_Retailer'!N24,'S3_D2_Retailer'!N24,'S3_D3_Retailer'!N24)</f>
        <v/>
      </c>
      <c r="L27" s="2">
        <f>CHOOSE(Inputs!$B$12,'S3_D1_Wholesaler'!C24,'S3_D2_Wholesaler'!C24,'S3_D3_Wholesaler'!C24)</f>
        <v/>
      </c>
      <c r="M27" s="2">
        <f>CHOOSE(Inputs!$B$12,'S3_D1_Wholesaler'!D24,'S3_D2_Wholesaler'!D24,'S3_D3_Wholesaler'!D24)</f>
        <v/>
      </c>
      <c r="N27" s="2">
        <f>CHOOSE(Inputs!$B$12,'S3_D1_Wholesaler'!H24,'S3_D2_Wholesaler'!H24,'S3_D3_Wholesaler'!H24)</f>
        <v/>
      </c>
      <c r="O27" s="2">
        <f>CHOOSE(Inputs!$B$12,'S3_D1_Wholesaler'!I24,'S3_D2_Wholesaler'!I24,'S3_D3_Wholesaler'!I24)</f>
        <v/>
      </c>
      <c r="P27" s="2">
        <f>CHOOSE(Inputs!$B$12,'S3_D1_Wholesaler'!J24,'S3_D2_Wholesaler'!J24,'S3_D3_Wholesaler'!J24)</f>
        <v/>
      </c>
      <c r="Q27" s="2">
        <f>CHOOSE(Inputs!$B$12,'S3_D1_Wholesaler'!P24,'S3_D2_Wholesaler'!P24,'S3_D3_Wholesaler'!P24)</f>
        <v/>
      </c>
      <c r="R27" s="2">
        <f>CHOOSE(Inputs!$B$12,'S3_D1_Wholesaler'!K24,'S3_D2_Wholesaler'!K24,'S3_D3_Wholesaler'!K24)</f>
        <v/>
      </c>
      <c r="S27" s="2">
        <f>CHOOSE(Inputs!$B$12,'S3_D1_Wholesaler'!L24,'S3_D2_Wholesaler'!L24,'S3_D3_Wholesaler'!L24)</f>
        <v/>
      </c>
      <c r="T27" s="2">
        <f>CHOOSE(Inputs!$B$12,'S3_D1_Wholesaler'!M24,'S3_D2_Wholesaler'!M24,'S3_D3_Wholesaler'!M24)</f>
        <v/>
      </c>
      <c r="U27" s="2">
        <f>CHOOSE(Inputs!$B$12,'S3_D1_Wholesaler'!N24,'S3_D2_Wholesaler'!N24,'S3_D3_Wholesaler'!N24)</f>
        <v/>
      </c>
      <c r="V27" s="2">
        <f>CHOOSE(Inputs!$B$12,'S3_D1_Distributor'!C24,'S3_D2_Distributor'!C24,'S3_D3_Distributor'!C24)</f>
        <v/>
      </c>
      <c r="W27" s="2">
        <f>CHOOSE(Inputs!$B$12,'S3_D1_Distributor'!D24,'S3_D2_Distributor'!D24,'S3_D3_Distributor'!D24)</f>
        <v/>
      </c>
      <c r="X27" s="2">
        <f>CHOOSE(Inputs!$B$12,'S3_D1_Distributor'!H24,'S3_D2_Distributor'!H24,'S3_D3_Distributor'!H24)</f>
        <v/>
      </c>
      <c r="Y27" s="2">
        <f>CHOOSE(Inputs!$B$12,'S3_D1_Distributor'!I24,'S3_D2_Distributor'!I24,'S3_D3_Distributor'!I24)</f>
        <v/>
      </c>
      <c r="Z27" s="2">
        <f>CHOOSE(Inputs!$B$12,'S3_D1_Distributor'!J24,'S3_D2_Distributor'!J24,'S3_D3_Distributor'!J24)</f>
        <v/>
      </c>
      <c r="AA27" s="2">
        <f>CHOOSE(Inputs!$B$12,'S3_D1_Distributor'!P24,'S3_D2_Distributor'!P24,'S3_D3_Distributor'!P24)</f>
        <v/>
      </c>
      <c r="AB27" s="2">
        <f>CHOOSE(Inputs!$B$12,'S3_D1_Distributor'!K24,'S3_D2_Distributor'!K24,'S3_D3_Distributor'!K24)</f>
        <v/>
      </c>
      <c r="AC27" s="2">
        <f>CHOOSE(Inputs!$B$12,'S3_D1_Distributor'!L24,'S3_D2_Distributor'!L24,'S3_D3_Distributor'!L24)</f>
        <v/>
      </c>
      <c r="AD27" s="2">
        <f>CHOOSE(Inputs!$B$12,'S3_D1_Distributor'!M24,'S3_D2_Distributor'!M24,'S3_D3_Distributor'!M24)</f>
        <v/>
      </c>
      <c r="AE27" s="2">
        <f>CHOOSE(Inputs!$B$12,'S3_D1_Distributor'!N24,'S3_D2_Distributor'!N24,'S3_D3_Distributor'!N24)</f>
        <v/>
      </c>
      <c r="AF27" s="2">
        <f>CHOOSE(Inputs!$B$12,'S3_D1_Factory'!C24,'S3_D2_Factory'!C24,'S3_D3_Factory'!C24)</f>
        <v/>
      </c>
      <c r="AG27" s="2">
        <f>CHOOSE(Inputs!$B$12,'S3_D1_Factory'!D24,'S3_D2_Factory'!D24,'S3_D3_Factory'!D24)</f>
        <v/>
      </c>
      <c r="AH27" s="2">
        <f>CHOOSE(Inputs!$B$12,'S3_D1_Factory'!H24,'S3_D2_Factory'!H24,'S3_D3_Factory'!H24)</f>
        <v/>
      </c>
      <c r="AI27" s="2">
        <f>CHOOSE(Inputs!$B$12,'S3_D1_Factory'!I24,'S3_D2_Factory'!I24,'S3_D3_Factory'!I24)</f>
        <v/>
      </c>
      <c r="AJ27" s="2">
        <f>CHOOSE(Inputs!$B$12,'S3_D1_Factory'!J24,'S3_D2_Factory'!J24,'S3_D3_Factory'!J24)</f>
        <v/>
      </c>
      <c r="AK27" s="2">
        <f>CHOOSE(Inputs!$B$12,'S3_D1_Factory'!P24,'S3_D2_Factory'!P24,'S3_D3_Factory'!P24)</f>
        <v/>
      </c>
      <c r="AL27" s="2">
        <f>CHOOSE(Inputs!$B$12,'S3_D1_Factory'!K24,'S3_D2_Factory'!K24,'S3_D3_Factory'!K24)</f>
        <v/>
      </c>
      <c r="AM27" s="2">
        <f>CHOOSE(Inputs!$B$12,'S3_D1_Factory'!L24,'S3_D2_Factory'!L24,'S3_D3_Factory'!L24)</f>
        <v/>
      </c>
      <c r="AN27" s="2">
        <f>CHOOSE(Inputs!$B$12,'S3_D1_Factory'!M24,'S3_D2_Factory'!M24,'S3_D3_Factory'!M24)</f>
        <v/>
      </c>
      <c r="AO27" s="2">
        <f>CHOOSE(Inputs!$B$12,'S3_D1_Factory'!N24,'S3_D2_Factory'!N24,'S3_D3_Factory'!N24)</f>
        <v/>
      </c>
      <c r="AP27" s="2">
        <f>SUM(H27,R27,AB27,AL27)</f>
        <v/>
      </c>
      <c r="AQ27" s="2">
        <f>SUM(I27,S27,AC27,AM27)</f>
        <v/>
      </c>
      <c r="AR27" s="2">
        <f>SUM(J27,T27,AD27,AN27)</f>
        <v/>
      </c>
      <c r="AS27" s="2">
        <f>AS26+AR27</f>
        <v/>
      </c>
    </row>
    <row r="28">
      <c r="A28" s="2" t="n">
        <v>24</v>
      </c>
      <c r="B28" s="2">
        <f>CHOOSE(Inputs!$B$12,'S3_D1_Retailer'!C25,'S3_D2_Retailer'!C25,'S3_D3_Retailer'!C25)</f>
        <v/>
      </c>
      <c r="C28" s="2">
        <f>CHOOSE(Inputs!$B$12,'S3_D1_Retailer'!D25,'S3_D2_Retailer'!D25,'S3_D3_Retailer'!D25)</f>
        <v/>
      </c>
      <c r="D28" s="2">
        <f>CHOOSE(Inputs!$B$12,'S3_D1_Retailer'!H25,'S3_D2_Retailer'!H25,'S3_D3_Retailer'!H25)</f>
        <v/>
      </c>
      <c r="E28" s="2">
        <f>CHOOSE(Inputs!$B$12,'S3_D1_Retailer'!I25,'S3_D2_Retailer'!I25,'S3_D3_Retailer'!I25)</f>
        <v/>
      </c>
      <c r="F28" s="2">
        <f>CHOOSE(Inputs!$B$12,'S3_D1_Retailer'!J25,'S3_D2_Retailer'!J25,'S3_D3_Retailer'!J25)</f>
        <v/>
      </c>
      <c r="G28" s="2">
        <f>CHOOSE(Inputs!$B$12,'S3_D1_Retailer'!P25,'S3_D2_Retailer'!P25,'S3_D3_Retailer'!P25)</f>
        <v/>
      </c>
      <c r="H28" s="2">
        <f>CHOOSE(Inputs!$B$12,'S3_D1_Retailer'!K25,'S3_D2_Retailer'!K25,'S3_D3_Retailer'!K25)</f>
        <v/>
      </c>
      <c r="I28" s="2">
        <f>CHOOSE(Inputs!$B$12,'S3_D1_Retailer'!L25,'S3_D2_Retailer'!L25,'S3_D3_Retailer'!L25)</f>
        <v/>
      </c>
      <c r="J28" s="2">
        <f>CHOOSE(Inputs!$B$12,'S3_D1_Retailer'!M25,'S3_D2_Retailer'!M25,'S3_D3_Retailer'!M25)</f>
        <v/>
      </c>
      <c r="K28" s="2">
        <f>CHOOSE(Inputs!$B$12,'S3_D1_Retailer'!N25,'S3_D2_Retailer'!N25,'S3_D3_Retailer'!N25)</f>
        <v/>
      </c>
      <c r="L28" s="2">
        <f>CHOOSE(Inputs!$B$12,'S3_D1_Wholesaler'!C25,'S3_D2_Wholesaler'!C25,'S3_D3_Wholesaler'!C25)</f>
        <v/>
      </c>
      <c r="M28" s="2">
        <f>CHOOSE(Inputs!$B$12,'S3_D1_Wholesaler'!D25,'S3_D2_Wholesaler'!D25,'S3_D3_Wholesaler'!D25)</f>
        <v/>
      </c>
      <c r="N28" s="2">
        <f>CHOOSE(Inputs!$B$12,'S3_D1_Wholesaler'!H25,'S3_D2_Wholesaler'!H25,'S3_D3_Wholesaler'!H25)</f>
        <v/>
      </c>
      <c r="O28" s="2">
        <f>CHOOSE(Inputs!$B$12,'S3_D1_Wholesaler'!I25,'S3_D2_Wholesaler'!I25,'S3_D3_Wholesaler'!I25)</f>
        <v/>
      </c>
      <c r="P28" s="2">
        <f>CHOOSE(Inputs!$B$12,'S3_D1_Wholesaler'!J25,'S3_D2_Wholesaler'!J25,'S3_D3_Wholesaler'!J25)</f>
        <v/>
      </c>
      <c r="Q28" s="2">
        <f>CHOOSE(Inputs!$B$12,'S3_D1_Wholesaler'!P25,'S3_D2_Wholesaler'!P25,'S3_D3_Wholesaler'!P25)</f>
        <v/>
      </c>
      <c r="R28" s="2">
        <f>CHOOSE(Inputs!$B$12,'S3_D1_Wholesaler'!K25,'S3_D2_Wholesaler'!K25,'S3_D3_Wholesaler'!K25)</f>
        <v/>
      </c>
      <c r="S28" s="2">
        <f>CHOOSE(Inputs!$B$12,'S3_D1_Wholesaler'!L25,'S3_D2_Wholesaler'!L25,'S3_D3_Wholesaler'!L25)</f>
        <v/>
      </c>
      <c r="T28" s="2">
        <f>CHOOSE(Inputs!$B$12,'S3_D1_Wholesaler'!M25,'S3_D2_Wholesaler'!M25,'S3_D3_Wholesaler'!M25)</f>
        <v/>
      </c>
      <c r="U28" s="2">
        <f>CHOOSE(Inputs!$B$12,'S3_D1_Wholesaler'!N25,'S3_D2_Wholesaler'!N25,'S3_D3_Wholesaler'!N25)</f>
        <v/>
      </c>
      <c r="V28" s="2">
        <f>CHOOSE(Inputs!$B$12,'S3_D1_Distributor'!C25,'S3_D2_Distributor'!C25,'S3_D3_Distributor'!C25)</f>
        <v/>
      </c>
      <c r="W28" s="2">
        <f>CHOOSE(Inputs!$B$12,'S3_D1_Distributor'!D25,'S3_D2_Distributor'!D25,'S3_D3_Distributor'!D25)</f>
        <v/>
      </c>
      <c r="X28" s="2">
        <f>CHOOSE(Inputs!$B$12,'S3_D1_Distributor'!H25,'S3_D2_Distributor'!H25,'S3_D3_Distributor'!H25)</f>
        <v/>
      </c>
      <c r="Y28" s="2">
        <f>CHOOSE(Inputs!$B$12,'S3_D1_Distributor'!I25,'S3_D2_Distributor'!I25,'S3_D3_Distributor'!I25)</f>
        <v/>
      </c>
      <c r="Z28" s="2">
        <f>CHOOSE(Inputs!$B$12,'S3_D1_Distributor'!J25,'S3_D2_Distributor'!J25,'S3_D3_Distributor'!J25)</f>
        <v/>
      </c>
      <c r="AA28" s="2">
        <f>CHOOSE(Inputs!$B$12,'S3_D1_Distributor'!P25,'S3_D2_Distributor'!P25,'S3_D3_Distributor'!P25)</f>
        <v/>
      </c>
      <c r="AB28" s="2">
        <f>CHOOSE(Inputs!$B$12,'S3_D1_Distributor'!K25,'S3_D2_Distributor'!K25,'S3_D3_Distributor'!K25)</f>
        <v/>
      </c>
      <c r="AC28" s="2">
        <f>CHOOSE(Inputs!$B$12,'S3_D1_Distributor'!L25,'S3_D2_Distributor'!L25,'S3_D3_Distributor'!L25)</f>
        <v/>
      </c>
      <c r="AD28" s="2">
        <f>CHOOSE(Inputs!$B$12,'S3_D1_Distributor'!M25,'S3_D2_Distributor'!M25,'S3_D3_Distributor'!M25)</f>
        <v/>
      </c>
      <c r="AE28" s="2">
        <f>CHOOSE(Inputs!$B$12,'S3_D1_Distributor'!N25,'S3_D2_Distributor'!N25,'S3_D3_Distributor'!N25)</f>
        <v/>
      </c>
      <c r="AF28" s="2">
        <f>CHOOSE(Inputs!$B$12,'S3_D1_Factory'!C25,'S3_D2_Factory'!C25,'S3_D3_Factory'!C25)</f>
        <v/>
      </c>
      <c r="AG28" s="2">
        <f>CHOOSE(Inputs!$B$12,'S3_D1_Factory'!D25,'S3_D2_Factory'!D25,'S3_D3_Factory'!D25)</f>
        <v/>
      </c>
      <c r="AH28" s="2">
        <f>CHOOSE(Inputs!$B$12,'S3_D1_Factory'!H25,'S3_D2_Factory'!H25,'S3_D3_Factory'!H25)</f>
        <v/>
      </c>
      <c r="AI28" s="2">
        <f>CHOOSE(Inputs!$B$12,'S3_D1_Factory'!I25,'S3_D2_Factory'!I25,'S3_D3_Factory'!I25)</f>
        <v/>
      </c>
      <c r="AJ28" s="2">
        <f>CHOOSE(Inputs!$B$12,'S3_D1_Factory'!J25,'S3_D2_Factory'!J25,'S3_D3_Factory'!J25)</f>
        <v/>
      </c>
      <c r="AK28" s="2">
        <f>CHOOSE(Inputs!$B$12,'S3_D1_Factory'!P25,'S3_D2_Factory'!P25,'S3_D3_Factory'!P25)</f>
        <v/>
      </c>
      <c r="AL28" s="2">
        <f>CHOOSE(Inputs!$B$12,'S3_D1_Factory'!K25,'S3_D2_Factory'!K25,'S3_D3_Factory'!K25)</f>
        <v/>
      </c>
      <c r="AM28" s="2">
        <f>CHOOSE(Inputs!$B$12,'S3_D1_Factory'!L25,'S3_D2_Factory'!L25,'S3_D3_Factory'!L25)</f>
        <v/>
      </c>
      <c r="AN28" s="2">
        <f>CHOOSE(Inputs!$B$12,'S3_D1_Factory'!M25,'S3_D2_Factory'!M25,'S3_D3_Factory'!M25)</f>
        <v/>
      </c>
      <c r="AO28" s="2">
        <f>CHOOSE(Inputs!$B$12,'S3_D1_Factory'!N25,'S3_D2_Factory'!N25,'S3_D3_Factory'!N25)</f>
        <v/>
      </c>
      <c r="AP28" s="2">
        <f>SUM(H28,R28,AB28,AL28)</f>
        <v/>
      </c>
      <c r="AQ28" s="2">
        <f>SUM(I28,S28,AC28,AM28)</f>
        <v/>
      </c>
      <c r="AR28" s="2">
        <f>SUM(J28,T28,AD28,AN28)</f>
        <v/>
      </c>
      <c r="AS28" s="2">
        <f>AS27+AR28</f>
        <v/>
      </c>
    </row>
    <row r="29">
      <c r="A29" s="2" t="n">
        <v>25</v>
      </c>
      <c r="B29" s="2">
        <f>CHOOSE(Inputs!$B$12,'S3_D1_Retailer'!C26,'S3_D2_Retailer'!C26,'S3_D3_Retailer'!C26)</f>
        <v/>
      </c>
      <c r="C29" s="2">
        <f>CHOOSE(Inputs!$B$12,'S3_D1_Retailer'!D26,'S3_D2_Retailer'!D26,'S3_D3_Retailer'!D26)</f>
        <v/>
      </c>
      <c r="D29" s="2">
        <f>CHOOSE(Inputs!$B$12,'S3_D1_Retailer'!H26,'S3_D2_Retailer'!H26,'S3_D3_Retailer'!H26)</f>
        <v/>
      </c>
      <c r="E29" s="2">
        <f>CHOOSE(Inputs!$B$12,'S3_D1_Retailer'!I26,'S3_D2_Retailer'!I26,'S3_D3_Retailer'!I26)</f>
        <v/>
      </c>
      <c r="F29" s="2">
        <f>CHOOSE(Inputs!$B$12,'S3_D1_Retailer'!J26,'S3_D2_Retailer'!J26,'S3_D3_Retailer'!J26)</f>
        <v/>
      </c>
      <c r="G29" s="2">
        <f>CHOOSE(Inputs!$B$12,'S3_D1_Retailer'!P26,'S3_D2_Retailer'!P26,'S3_D3_Retailer'!P26)</f>
        <v/>
      </c>
      <c r="H29" s="2">
        <f>CHOOSE(Inputs!$B$12,'S3_D1_Retailer'!K26,'S3_D2_Retailer'!K26,'S3_D3_Retailer'!K26)</f>
        <v/>
      </c>
      <c r="I29" s="2">
        <f>CHOOSE(Inputs!$B$12,'S3_D1_Retailer'!L26,'S3_D2_Retailer'!L26,'S3_D3_Retailer'!L26)</f>
        <v/>
      </c>
      <c r="J29" s="2">
        <f>CHOOSE(Inputs!$B$12,'S3_D1_Retailer'!M26,'S3_D2_Retailer'!M26,'S3_D3_Retailer'!M26)</f>
        <v/>
      </c>
      <c r="K29" s="2">
        <f>CHOOSE(Inputs!$B$12,'S3_D1_Retailer'!N26,'S3_D2_Retailer'!N26,'S3_D3_Retailer'!N26)</f>
        <v/>
      </c>
      <c r="L29" s="2">
        <f>CHOOSE(Inputs!$B$12,'S3_D1_Wholesaler'!C26,'S3_D2_Wholesaler'!C26,'S3_D3_Wholesaler'!C26)</f>
        <v/>
      </c>
      <c r="M29" s="2">
        <f>CHOOSE(Inputs!$B$12,'S3_D1_Wholesaler'!D26,'S3_D2_Wholesaler'!D26,'S3_D3_Wholesaler'!D26)</f>
        <v/>
      </c>
      <c r="N29" s="2">
        <f>CHOOSE(Inputs!$B$12,'S3_D1_Wholesaler'!H26,'S3_D2_Wholesaler'!H26,'S3_D3_Wholesaler'!H26)</f>
        <v/>
      </c>
      <c r="O29" s="2">
        <f>CHOOSE(Inputs!$B$12,'S3_D1_Wholesaler'!I26,'S3_D2_Wholesaler'!I26,'S3_D3_Wholesaler'!I26)</f>
        <v/>
      </c>
      <c r="P29" s="2">
        <f>CHOOSE(Inputs!$B$12,'S3_D1_Wholesaler'!J26,'S3_D2_Wholesaler'!J26,'S3_D3_Wholesaler'!J26)</f>
        <v/>
      </c>
      <c r="Q29" s="2">
        <f>CHOOSE(Inputs!$B$12,'S3_D1_Wholesaler'!P26,'S3_D2_Wholesaler'!P26,'S3_D3_Wholesaler'!P26)</f>
        <v/>
      </c>
      <c r="R29" s="2">
        <f>CHOOSE(Inputs!$B$12,'S3_D1_Wholesaler'!K26,'S3_D2_Wholesaler'!K26,'S3_D3_Wholesaler'!K26)</f>
        <v/>
      </c>
      <c r="S29" s="2">
        <f>CHOOSE(Inputs!$B$12,'S3_D1_Wholesaler'!L26,'S3_D2_Wholesaler'!L26,'S3_D3_Wholesaler'!L26)</f>
        <v/>
      </c>
      <c r="T29" s="2">
        <f>CHOOSE(Inputs!$B$12,'S3_D1_Wholesaler'!M26,'S3_D2_Wholesaler'!M26,'S3_D3_Wholesaler'!M26)</f>
        <v/>
      </c>
      <c r="U29" s="2">
        <f>CHOOSE(Inputs!$B$12,'S3_D1_Wholesaler'!N26,'S3_D2_Wholesaler'!N26,'S3_D3_Wholesaler'!N26)</f>
        <v/>
      </c>
      <c r="V29" s="2">
        <f>CHOOSE(Inputs!$B$12,'S3_D1_Distributor'!C26,'S3_D2_Distributor'!C26,'S3_D3_Distributor'!C26)</f>
        <v/>
      </c>
      <c r="W29" s="2">
        <f>CHOOSE(Inputs!$B$12,'S3_D1_Distributor'!D26,'S3_D2_Distributor'!D26,'S3_D3_Distributor'!D26)</f>
        <v/>
      </c>
      <c r="X29" s="2">
        <f>CHOOSE(Inputs!$B$12,'S3_D1_Distributor'!H26,'S3_D2_Distributor'!H26,'S3_D3_Distributor'!H26)</f>
        <v/>
      </c>
      <c r="Y29" s="2">
        <f>CHOOSE(Inputs!$B$12,'S3_D1_Distributor'!I26,'S3_D2_Distributor'!I26,'S3_D3_Distributor'!I26)</f>
        <v/>
      </c>
      <c r="Z29" s="2">
        <f>CHOOSE(Inputs!$B$12,'S3_D1_Distributor'!J26,'S3_D2_Distributor'!J26,'S3_D3_Distributor'!J26)</f>
        <v/>
      </c>
      <c r="AA29" s="2">
        <f>CHOOSE(Inputs!$B$12,'S3_D1_Distributor'!P26,'S3_D2_Distributor'!P26,'S3_D3_Distributor'!P26)</f>
        <v/>
      </c>
      <c r="AB29" s="2">
        <f>CHOOSE(Inputs!$B$12,'S3_D1_Distributor'!K26,'S3_D2_Distributor'!K26,'S3_D3_Distributor'!K26)</f>
        <v/>
      </c>
      <c r="AC29" s="2">
        <f>CHOOSE(Inputs!$B$12,'S3_D1_Distributor'!L26,'S3_D2_Distributor'!L26,'S3_D3_Distributor'!L26)</f>
        <v/>
      </c>
      <c r="AD29" s="2">
        <f>CHOOSE(Inputs!$B$12,'S3_D1_Distributor'!M26,'S3_D2_Distributor'!M26,'S3_D3_Distributor'!M26)</f>
        <v/>
      </c>
      <c r="AE29" s="2">
        <f>CHOOSE(Inputs!$B$12,'S3_D1_Distributor'!N26,'S3_D2_Distributor'!N26,'S3_D3_Distributor'!N26)</f>
        <v/>
      </c>
      <c r="AF29" s="2">
        <f>CHOOSE(Inputs!$B$12,'S3_D1_Factory'!C26,'S3_D2_Factory'!C26,'S3_D3_Factory'!C26)</f>
        <v/>
      </c>
      <c r="AG29" s="2">
        <f>CHOOSE(Inputs!$B$12,'S3_D1_Factory'!D26,'S3_D2_Factory'!D26,'S3_D3_Factory'!D26)</f>
        <v/>
      </c>
      <c r="AH29" s="2">
        <f>CHOOSE(Inputs!$B$12,'S3_D1_Factory'!H26,'S3_D2_Factory'!H26,'S3_D3_Factory'!H26)</f>
        <v/>
      </c>
      <c r="AI29" s="2">
        <f>CHOOSE(Inputs!$B$12,'S3_D1_Factory'!I26,'S3_D2_Factory'!I26,'S3_D3_Factory'!I26)</f>
        <v/>
      </c>
      <c r="AJ29" s="2">
        <f>CHOOSE(Inputs!$B$12,'S3_D1_Factory'!J26,'S3_D2_Factory'!J26,'S3_D3_Factory'!J26)</f>
        <v/>
      </c>
      <c r="AK29" s="2">
        <f>CHOOSE(Inputs!$B$12,'S3_D1_Factory'!P26,'S3_D2_Factory'!P26,'S3_D3_Factory'!P26)</f>
        <v/>
      </c>
      <c r="AL29" s="2">
        <f>CHOOSE(Inputs!$B$12,'S3_D1_Factory'!K26,'S3_D2_Factory'!K26,'S3_D3_Factory'!K26)</f>
        <v/>
      </c>
      <c r="AM29" s="2">
        <f>CHOOSE(Inputs!$B$12,'S3_D1_Factory'!L26,'S3_D2_Factory'!L26,'S3_D3_Factory'!L26)</f>
        <v/>
      </c>
      <c r="AN29" s="2">
        <f>CHOOSE(Inputs!$B$12,'S3_D1_Factory'!M26,'S3_D2_Factory'!M26,'S3_D3_Factory'!M26)</f>
        <v/>
      </c>
      <c r="AO29" s="2">
        <f>CHOOSE(Inputs!$B$12,'S3_D1_Factory'!N26,'S3_D2_Factory'!N26,'S3_D3_Factory'!N26)</f>
        <v/>
      </c>
      <c r="AP29" s="2">
        <f>SUM(H29,R29,AB29,AL29)</f>
        <v/>
      </c>
      <c r="AQ29" s="2">
        <f>SUM(I29,S29,AC29,AM29)</f>
        <v/>
      </c>
      <c r="AR29" s="2">
        <f>SUM(J29,T29,AD29,AN29)</f>
        <v/>
      </c>
      <c r="AS29" s="2">
        <f>AS28+AR29</f>
        <v/>
      </c>
    </row>
    <row r="30">
      <c r="A30" s="2" t="n">
        <v>26</v>
      </c>
      <c r="B30" s="2">
        <f>CHOOSE(Inputs!$B$12,'S3_D1_Retailer'!C27,'S3_D2_Retailer'!C27,'S3_D3_Retailer'!C27)</f>
        <v/>
      </c>
      <c r="C30" s="2">
        <f>CHOOSE(Inputs!$B$12,'S3_D1_Retailer'!D27,'S3_D2_Retailer'!D27,'S3_D3_Retailer'!D27)</f>
        <v/>
      </c>
      <c r="D30" s="2">
        <f>CHOOSE(Inputs!$B$12,'S3_D1_Retailer'!H27,'S3_D2_Retailer'!H27,'S3_D3_Retailer'!H27)</f>
        <v/>
      </c>
      <c r="E30" s="2">
        <f>CHOOSE(Inputs!$B$12,'S3_D1_Retailer'!I27,'S3_D2_Retailer'!I27,'S3_D3_Retailer'!I27)</f>
        <v/>
      </c>
      <c r="F30" s="2">
        <f>CHOOSE(Inputs!$B$12,'S3_D1_Retailer'!J27,'S3_D2_Retailer'!J27,'S3_D3_Retailer'!J27)</f>
        <v/>
      </c>
      <c r="G30" s="2">
        <f>CHOOSE(Inputs!$B$12,'S3_D1_Retailer'!P27,'S3_D2_Retailer'!P27,'S3_D3_Retailer'!P27)</f>
        <v/>
      </c>
      <c r="H30" s="2">
        <f>CHOOSE(Inputs!$B$12,'S3_D1_Retailer'!K27,'S3_D2_Retailer'!K27,'S3_D3_Retailer'!K27)</f>
        <v/>
      </c>
      <c r="I30" s="2">
        <f>CHOOSE(Inputs!$B$12,'S3_D1_Retailer'!L27,'S3_D2_Retailer'!L27,'S3_D3_Retailer'!L27)</f>
        <v/>
      </c>
      <c r="J30" s="2">
        <f>CHOOSE(Inputs!$B$12,'S3_D1_Retailer'!M27,'S3_D2_Retailer'!M27,'S3_D3_Retailer'!M27)</f>
        <v/>
      </c>
      <c r="K30" s="2">
        <f>CHOOSE(Inputs!$B$12,'S3_D1_Retailer'!N27,'S3_D2_Retailer'!N27,'S3_D3_Retailer'!N27)</f>
        <v/>
      </c>
      <c r="L30" s="2">
        <f>CHOOSE(Inputs!$B$12,'S3_D1_Wholesaler'!C27,'S3_D2_Wholesaler'!C27,'S3_D3_Wholesaler'!C27)</f>
        <v/>
      </c>
      <c r="M30" s="2">
        <f>CHOOSE(Inputs!$B$12,'S3_D1_Wholesaler'!D27,'S3_D2_Wholesaler'!D27,'S3_D3_Wholesaler'!D27)</f>
        <v/>
      </c>
      <c r="N30" s="2">
        <f>CHOOSE(Inputs!$B$12,'S3_D1_Wholesaler'!H27,'S3_D2_Wholesaler'!H27,'S3_D3_Wholesaler'!H27)</f>
        <v/>
      </c>
      <c r="O30" s="2">
        <f>CHOOSE(Inputs!$B$12,'S3_D1_Wholesaler'!I27,'S3_D2_Wholesaler'!I27,'S3_D3_Wholesaler'!I27)</f>
        <v/>
      </c>
      <c r="P30" s="2">
        <f>CHOOSE(Inputs!$B$12,'S3_D1_Wholesaler'!J27,'S3_D2_Wholesaler'!J27,'S3_D3_Wholesaler'!J27)</f>
        <v/>
      </c>
      <c r="Q30" s="2">
        <f>CHOOSE(Inputs!$B$12,'S3_D1_Wholesaler'!P27,'S3_D2_Wholesaler'!P27,'S3_D3_Wholesaler'!P27)</f>
        <v/>
      </c>
      <c r="R30" s="2">
        <f>CHOOSE(Inputs!$B$12,'S3_D1_Wholesaler'!K27,'S3_D2_Wholesaler'!K27,'S3_D3_Wholesaler'!K27)</f>
        <v/>
      </c>
      <c r="S30" s="2">
        <f>CHOOSE(Inputs!$B$12,'S3_D1_Wholesaler'!L27,'S3_D2_Wholesaler'!L27,'S3_D3_Wholesaler'!L27)</f>
        <v/>
      </c>
      <c r="T30" s="2">
        <f>CHOOSE(Inputs!$B$12,'S3_D1_Wholesaler'!M27,'S3_D2_Wholesaler'!M27,'S3_D3_Wholesaler'!M27)</f>
        <v/>
      </c>
      <c r="U30" s="2">
        <f>CHOOSE(Inputs!$B$12,'S3_D1_Wholesaler'!N27,'S3_D2_Wholesaler'!N27,'S3_D3_Wholesaler'!N27)</f>
        <v/>
      </c>
      <c r="V30" s="2">
        <f>CHOOSE(Inputs!$B$12,'S3_D1_Distributor'!C27,'S3_D2_Distributor'!C27,'S3_D3_Distributor'!C27)</f>
        <v/>
      </c>
      <c r="W30" s="2">
        <f>CHOOSE(Inputs!$B$12,'S3_D1_Distributor'!D27,'S3_D2_Distributor'!D27,'S3_D3_Distributor'!D27)</f>
        <v/>
      </c>
      <c r="X30" s="2">
        <f>CHOOSE(Inputs!$B$12,'S3_D1_Distributor'!H27,'S3_D2_Distributor'!H27,'S3_D3_Distributor'!H27)</f>
        <v/>
      </c>
      <c r="Y30" s="2">
        <f>CHOOSE(Inputs!$B$12,'S3_D1_Distributor'!I27,'S3_D2_Distributor'!I27,'S3_D3_Distributor'!I27)</f>
        <v/>
      </c>
      <c r="Z30" s="2">
        <f>CHOOSE(Inputs!$B$12,'S3_D1_Distributor'!J27,'S3_D2_Distributor'!J27,'S3_D3_Distributor'!J27)</f>
        <v/>
      </c>
      <c r="AA30" s="2">
        <f>CHOOSE(Inputs!$B$12,'S3_D1_Distributor'!P27,'S3_D2_Distributor'!P27,'S3_D3_Distributor'!P27)</f>
        <v/>
      </c>
      <c r="AB30" s="2">
        <f>CHOOSE(Inputs!$B$12,'S3_D1_Distributor'!K27,'S3_D2_Distributor'!K27,'S3_D3_Distributor'!K27)</f>
        <v/>
      </c>
      <c r="AC30" s="2">
        <f>CHOOSE(Inputs!$B$12,'S3_D1_Distributor'!L27,'S3_D2_Distributor'!L27,'S3_D3_Distributor'!L27)</f>
        <v/>
      </c>
      <c r="AD30" s="2">
        <f>CHOOSE(Inputs!$B$12,'S3_D1_Distributor'!M27,'S3_D2_Distributor'!M27,'S3_D3_Distributor'!M27)</f>
        <v/>
      </c>
      <c r="AE30" s="2">
        <f>CHOOSE(Inputs!$B$12,'S3_D1_Distributor'!N27,'S3_D2_Distributor'!N27,'S3_D3_Distributor'!N27)</f>
        <v/>
      </c>
      <c r="AF30" s="2">
        <f>CHOOSE(Inputs!$B$12,'S3_D1_Factory'!C27,'S3_D2_Factory'!C27,'S3_D3_Factory'!C27)</f>
        <v/>
      </c>
      <c r="AG30" s="2">
        <f>CHOOSE(Inputs!$B$12,'S3_D1_Factory'!D27,'S3_D2_Factory'!D27,'S3_D3_Factory'!D27)</f>
        <v/>
      </c>
      <c r="AH30" s="2">
        <f>CHOOSE(Inputs!$B$12,'S3_D1_Factory'!H27,'S3_D2_Factory'!H27,'S3_D3_Factory'!H27)</f>
        <v/>
      </c>
      <c r="AI30" s="2">
        <f>CHOOSE(Inputs!$B$12,'S3_D1_Factory'!I27,'S3_D2_Factory'!I27,'S3_D3_Factory'!I27)</f>
        <v/>
      </c>
      <c r="AJ30" s="2">
        <f>CHOOSE(Inputs!$B$12,'S3_D1_Factory'!J27,'S3_D2_Factory'!J27,'S3_D3_Factory'!J27)</f>
        <v/>
      </c>
      <c r="AK30" s="2">
        <f>CHOOSE(Inputs!$B$12,'S3_D1_Factory'!P27,'S3_D2_Factory'!P27,'S3_D3_Factory'!P27)</f>
        <v/>
      </c>
      <c r="AL30" s="2">
        <f>CHOOSE(Inputs!$B$12,'S3_D1_Factory'!K27,'S3_D2_Factory'!K27,'S3_D3_Factory'!K27)</f>
        <v/>
      </c>
      <c r="AM30" s="2">
        <f>CHOOSE(Inputs!$B$12,'S3_D1_Factory'!L27,'S3_D2_Factory'!L27,'S3_D3_Factory'!L27)</f>
        <v/>
      </c>
      <c r="AN30" s="2">
        <f>CHOOSE(Inputs!$B$12,'S3_D1_Factory'!M27,'S3_D2_Factory'!M27,'S3_D3_Factory'!M27)</f>
        <v/>
      </c>
      <c r="AO30" s="2">
        <f>CHOOSE(Inputs!$B$12,'S3_D1_Factory'!N27,'S3_D2_Factory'!N27,'S3_D3_Factory'!N27)</f>
        <v/>
      </c>
      <c r="AP30" s="2">
        <f>SUM(H30,R30,AB30,AL30)</f>
        <v/>
      </c>
      <c r="AQ30" s="2">
        <f>SUM(I30,S30,AC30,AM30)</f>
        <v/>
      </c>
      <c r="AR30" s="2">
        <f>SUM(J30,T30,AD30,AN30)</f>
        <v/>
      </c>
      <c r="AS30" s="2">
        <f>AS29+AR30</f>
        <v/>
      </c>
    </row>
    <row r="31">
      <c r="A31" s="2" t="n">
        <v>27</v>
      </c>
      <c r="B31" s="2">
        <f>CHOOSE(Inputs!$B$12,'S3_D1_Retailer'!C28,'S3_D2_Retailer'!C28,'S3_D3_Retailer'!C28)</f>
        <v/>
      </c>
      <c r="C31" s="2">
        <f>CHOOSE(Inputs!$B$12,'S3_D1_Retailer'!D28,'S3_D2_Retailer'!D28,'S3_D3_Retailer'!D28)</f>
        <v/>
      </c>
      <c r="D31" s="2">
        <f>CHOOSE(Inputs!$B$12,'S3_D1_Retailer'!H28,'S3_D2_Retailer'!H28,'S3_D3_Retailer'!H28)</f>
        <v/>
      </c>
      <c r="E31" s="2">
        <f>CHOOSE(Inputs!$B$12,'S3_D1_Retailer'!I28,'S3_D2_Retailer'!I28,'S3_D3_Retailer'!I28)</f>
        <v/>
      </c>
      <c r="F31" s="2">
        <f>CHOOSE(Inputs!$B$12,'S3_D1_Retailer'!J28,'S3_D2_Retailer'!J28,'S3_D3_Retailer'!J28)</f>
        <v/>
      </c>
      <c r="G31" s="2">
        <f>CHOOSE(Inputs!$B$12,'S3_D1_Retailer'!P28,'S3_D2_Retailer'!P28,'S3_D3_Retailer'!P28)</f>
        <v/>
      </c>
      <c r="H31" s="2">
        <f>CHOOSE(Inputs!$B$12,'S3_D1_Retailer'!K28,'S3_D2_Retailer'!K28,'S3_D3_Retailer'!K28)</f>
        <v/>
      </c>
      <c r="I31" s="2">
        <f>CHOOSE(Inputs!$B$12,'S3_D1_Retailer'!L28,'S3_D2_Retailer'!L28,'S3_D3_Retailer'!L28)</f>
        <v/>
      </c>
      <c r="J31" s="2">
        <f>CHOOSE(Inputs!$B$12,'S3_D1_Retailer'!M28,'S3_D2_Retailer'!M28,'S3_D3_Retailer'!M28)</f>
        <v/>
      </c>
      <c r="K31" s="2">
        <f>CHOOSE(Inputs!$B$12,'S3_D1_Retailer'!N28,'S3_D2_Retailer'!N28,'S3_D3_Retailer'!N28)</f>
        <v/>
      </c>
      <c r="L31" s="2">
        <f>CHOOSE(Inputs!$B$12,'S3_D1_Wholesaler'!C28,'S3_D2_Wholesaler'!C28,'S3_D3_Wholesaler'!C28)</f>
        <v/>
      </c>
      <c r="M31" s="2">
        <f>CHOOSE(Inputs!$B$12,'S3_D1_Wholesaler'!D28,'S3_D2_Wholesaler'!D28,'S3_D3_Wholesaler'!D28)</f>
        <v/>
      </c>
      <c r="N31" s="2">
        <f>CHOOSE(Inputs!$B$12,'S3_D1_Wholesaler'!H28,'S3_D2_Wholesaler'!H28,'S3_D3_Wholesaler'!H28)</f>
        <v/>
      </c>
      <c r="O31" s="2">
        <f>CHOOSE(Inputs!$B$12,'S3_D1_Wholesaler'!I28,'S3_D2_Wholesaler'!I28,'S3_D3_Wholesaler'!I28)</f>
        <v/>
      </c>
      <c r="P31" s="2">
        <f>CHOOSE(Inputs!$B$12,'S3_D1_Wholesaler'!J28,'S3_D2_Wholesaler'!J28,'S3_D3_Wholesaler'!J28)</f>
        <v/>
      </c>
      <c r="Q31" s="2">
        <f>CHOOSE(Inputs!$B$12,'S3_D1_Wholesaler'!P28,'S3_D2_Wholesaler'!P28,'S3_D3_Wholesaler'!P28)</f>
        <v/>
      </c>
      <c r="R31" s="2">
        <f>CHOOSE(Inputs!$B$12,'S3_D1_Wholesaler'!K28,'S3_D2_Wholesaler'!K28,'S3_D3_Wholesaler'!K28)</f>
        <v/>
      </c>
      <c r="S31" s="2">
        <f>CHOOSE(Inputs!$B$12,'S3_D1_Wholesaler'!L28,'S3_D2_Wholesaler'!L28,'S3_D3_Wholesaler'!L28)</f>
        <v/>
      </c>
      <c r="T31" s="2">
        <f>CHOOSE(Inputs!$B$12,'S3_D1_Wholesaler'!M28,'S3_D2_Wholesaler'!M28,'S3_D3_Wholesaler'!M28)</f>
        <v/>
      </c>
      <c r="U31" s="2">
        <f>CHOOSE(Inputs!$B$12,'S3_D1_Wholesaler'!N28,'S3_D2_Wholesaler'!N28,'S3_D3_Wholesaler'!N28)</f>
        <v/>
      </c>
      <c r="V31" s="2">
        <f>CHOOSE(Inputs!$B$12,'S3_D1_Distributor'!C28,'S3_D2_Distributor'!C28,'S3_D3_Distributor'!C28)</f>
        <v/>
      </c>
      <c r="W31" s="2">
        <f>CHOOSE(Inputs!$B$12,'S3_D1_Distributor'!D28,'S3_D2_Distributor'!D28,'S3_D3_Distributor'!D28)</f>
        <v/>
      </c>
      <c r="X31" s="2">
        <f>CHOOSE(Inputs!$B$12,'S3_D1_Distributor'!H28,'S3_D2_Distributor'!H28,'S3_D3_Distributor'!H28)</f>
        <v/>
      </c>
      <c r="Y31" s="2">
        <f>CHOOSE(Inputs!$B$12,'S3_D1_Distributor'!I28,'S3_D2_Distributor'!I28,'S3_D3_Distributor'!I28)</f>
        <v/>
      </c>
      <c r="Z31" s="2">
        <f>CHOOSE(Inputs!$B$12,'S3_D1_Distributor'!J28,'S3_D2_Distributor'!J28,'S3_D3_Distributor'!J28)</f>
        <v/>
      </c>
      <c r="AA31" s="2">
        <f>CHOOSE(Inputs!$B$12,'S3_D1_Distributor'!P28,'S3_D2_Distributor'!P28,'S3_D3_Distributor'!P28)</f>
        <v/>
      </c>
      <c r="AB31" s="2">
        <f>CHOOSE(Inputs!$B$12,'S3_D1_Distributor'!K28,'S3_D2_Distributor'!K28,'S3_D3_Distributor'!K28)</f>
        <v/>
      </c>
      <c r="AC31" s="2">
        <f>CHOOSE(Inputs!$B$12,'S3_D1_Distributor'!L28,'S3_D2_Distributor'!L28,'S3_D3_Distributor'!L28)</f>
        <v/>
      </c>
      <c r="AD31" s="2">
        <f>CHOOSE(Inputs!$B$12,'S3_D1_Distributor'!M28,'S3_D2_Distributor'!M28,'S3_D3_Distributor'!M28)</f>
        <v/>
      </c>
      <c r="AE31" s="2">
        <f>CHOOSE(Inputs!$B$12,'S3_D1_Distributor'!N28,'S3_D2_Distributor'!N28,'S3_D3_Distributor'!N28)</f>
        <v/>
      </c>
      <c r="AF31" s="2">
        <f>CHOOSE(Inputs!$B$12,'S3_D1_Factory'!C28,'S3_D2_Factory'!C28,'S3_D3_Factory'!C28)</f>
        <v/>
      </c>
      <c r="AG31" s="2">
        <f>CHOOSE(Inputs!$B$12,'S3_D1_Factory'!D28,'S3_D2_Factory'!D28,'S3_D3_Factory'!D28)</f>
        <v/>
      </c>
      <c r="AH31" s="2">
        <f>CHOOSE(Inputs!$B$12,'S3_D1_Factory'!H28,'S3_D2_Factory'!H28,'S3_D3_Factory'!H28)</f>
        <v/>
      </c>
      <c r="AI31" s="2">
        <f>CHOOSE(Inputs!$B$12,'S3_D1_Factory'!I28,'S3_D2_Factory'!I28,'S3_D3_Factory'!I28)</f>
        <v/>
      </c>
      <c r="AJ31" s="2">
        <f>CHOOSE(Inputs!$B$12,'S3_D1_Factory'!J28,'S3_D2_Factory'!J28,'S3_D3_Factory'!J28)</f>
        <v/>
      </c>
      <c r="AK31" s="2">
        <f>CHOOSE(Inputs!$B$12,'S3_D1_Factory'!P28,'S3_D2_Factory'!P28,'S3_D3_Factory'!P28)</f>
        <v/>
      </c>
      <c r="AL31" s="2">
        <f>CHOOSE(Inputs!$B$12,'S3_D1_Factory'!K28,'S3_D2_Factory'!K28,'S3_D3_Factory'!K28)</f>
        <v/>
      </c>
      <c r="AM31" s="2">
        <f>CHOOSE(Inputs!$B$12,'S3_D1_Factory'!L28,'S3_D2_Factory'!L28,'S3_D3_Factory'!L28)</f>
        <v/>
      </c>
      <c r="AN31" s="2">
        <f>CHOOSE(Inputs!$B$12,'S3_D1_Factory'!M28,'S3_D2_Factory'!M28,'S3_D3_Factory'!M28)</f>
        <v/>
      </c>
      <c r="AO31" s="2">
        <f>CHOOSE(Inputs!$B$12,'S3_D1_Factory'!N28,'S3_D2_Factory'!N28,'S3_D3_Factory'!N28)</f>
        <v/>
      </c>
      <c r="AP31" s="2">
        <f>SUM(H31,R31,AB31,AL31)</f>
        <v/>
      </c>
      <c r="AQ31" s="2">
        <f>SUM(I31,S31,AC31,AM31)</f>
        <v/>
      </c>
      <c r="AR31" s="2">
        <f>SUM(J31,T31,AD31,AN31)</f>
        <v/>
      </c>
      <c r="AS31" s="2">
        <f>AS30+AR31</f>
        <v/>
      </c>
    </row>
    <row r="32">
      <c r="A32" s="2" t="n">
        <v>28</v>
      </c>
      <c r="B32" s="2">
        <f>CHOOSE(Inputs!$B$12,'S3_D1_Retailer'!C29,'S3_D2_Retailer'!C29,'S3_D3_Retailer'!C29)</f>
        <v/>
      </c>
      <c r="C32" s="2">
        <f>CHOOSE(Inputs!$B$12,'S3_D1_Retailer'!D29,'S3_D2_Retailer'!D29,'S3_D3_Retailer'!D29)</f>
        <v/>
      </c>
      <c r="D32" s="2">
        <f>CHOOSE(Inputs!$B$12,'S3_D1_Retailer'!H29,'S3_D2_Retailer'!H29,'S3_D3_Retailer'!H29)</f>
        <v/>
      </c>
      <c r="E32" s="2">
        <f>CHOOSE(Inputs!$B$12,'S3_D1_Retailer'!I29,'S3_D2_Retailer'!I29,'S3_D3_Retailer'!I29)</f>
        <v/>
      </c>
      <c r="F32" s="2">
        <f>CHOOSE(Inputs!$B$12,'S3_D1_Retailer'!J29,'S3_D2_Retailer'!J29,'S3_D3_Retailer'!J29)</f>
        <v/>
      </c>
      <c r="G32" s="2">
        <f>CHOOSE(Inputs!$B$12,'S3_D1_Retailer'!P29,'S3_D2_Retailer'!P29,'S3_D3_Retailer'!P29)</f>
        <v/>
      </c>
      <c r="H32" s="2">
        <f>CHOOSE(Inputs!$B$12,'S3_D1_Retailer'!K29,'S3_D2_Retailer'!K29,'S3_D3_Retailer'!K29)</f>
        <v/>
      </c>
      <c r="I32" s="2">
        <f>CHOOSE(Inputs!$B$12,'S3_D1_Retailer'!L29,'S3_D2_Retailer'!L29,'S3_D3_Retailer'!L29)</f>
        <v/>
      </c>
      <c r="J32" s="2">
        <f>CHOOSE(Inputs!$B$12,'S3_D1_Retailer'!M29,'S3_D2_Retailer'!M29,'S3_D3_Retailer'!M29)</f>
        <v/>
      </c>
      <c r="K32" s="2">
        <f>CHOOSE(Inputs!$B$12,'S3_D1_Retailer'!N29,'S3_D2_Retailer'!N29,'S3_D3_Retailer'!N29)</f>
        <v/>
      </c>
      <c r="L32" s="2">
        <f>CHOOSE(Inputs!$B$12,'S3_D1_Wholesaler'!C29,'S3_D2_Wholesaler'!C29,'S3_D3_Wholesaler'!C29)</f>
        <v/>
      </c>
      <c r="M32" s="2">
        <f>CHOOSE(Inputs!$B$12,'S3_D1_Wholesaler'!D29,'S3_D2_Wholesaler'!D29,'S3_D3_Wholesaler'!D29)</f>
        <v/>
      </c>
      <c r="N32" s="2">
        <f>CHOOSE(Inputs!$B$12,'S3_D1_Wholesaler'!H29,'S3_D2_Wholesaler'!H29,'S3_D3_Wholesaler'!H29)</f>
        <v/>
      </c>
      <c r="O32" s="2">
        <f>CHOOSE(Inputs!$B$12,'S3_D1_Wholesaler'!I29,'S3_D2_Wholesaler'!I29,'S3_D3_Wholesaler'!I29)</f>
        <v/>
      </c>
      <c r="P32" s="2">
        <f>CHOOSE(Inputs!$B$12,'S3_D1_Wholesaler'!J29,'S3_D2_Wholesaler'!J29,'S3_D3_Wholesaler'!J29)</f>
        <v/>
      </c>
      <c r="Q32" s="2">
        <f>CHOOSE(Inputs!$B$12,'S3_D1_Wholesaler'!P29,'S3_D2_Wholesaler'!P29,'S3_D3_Wholesaler'!P29)</f>
        <v/>
      </c>
      <c r="R32" s="2">
        <f>CHOOSE(Inputs!$B$12,'S3_D1_Wholesaler'!K29,'S3_D2_Wholesaler'!K29,'S3_D3_Wholesaler'!K29)</f>
        <v/>
      </c>
      <c r="S32" s="2">
        <f>CHOOSE(Inputs!$B$12,'S3_D1_Wholesaler'!L29,'S3_D2_Wholesaler'!L29,'S3_D3_Wholesaler'!L29)</f>
        <v/>
      </c>
      <c r="T32" s="2">
        <f>CHOOSE(Inputs!$B$12,'S3_D1_Wholesaler'!M29,'S3_D2_Wholesaler'!M29,'S3_D3_Wholesaler'!M29)</f>
        <v/>
      </c>
      <c r="U32" s="2">
        <f>CHOOSE(Inputs!$B$12,'S3_D1_Wholesaler'!N29,'S3_D2_Wholesaler'!N29,'S3_D3_Wholesaler'!N29)</f>
        <v/>
      </c>
      <c r="V32" s="2">
        <f>CHOOSE(Inputs!$B$12,'S3_D1_Distributor'!C29,'S3_D2_Distributor'!C29,'S3_D3_Distributor'!C29)</f>
        <v/>
      </c>
      <c r="W32" s="2">
        <f>CHOOSE(Inputs!$B$12,'S3_D1_Distributor'!D29,'S3_D2_Distributor'!D29,'S3_D3_Distributor'!D29)</f>
        <v/>
      </c>
      <c r="X32" s="2">
        <f>CHOOSE(Inputs!$B$12,'S3_D1_Distributor'!H29,'S3_D2_Distributor'!H29,'S3_D3_Distributor'!H29)</f>
        <v/>
      </c>
      <c r="Y32" s="2">
        <f>CHOOSE(Inputs!$B$12,'S3_D1_Distributor'!I29,'S3_D2_Distributor'!I29,'S3_D3_Distributor'!I29)</f>
        <v/>
      </c>
      <c r="Z32" s="2">
        <f>CHOOSE(Inputs!$B$12,'S3_D1_Distributor'!J29,'S3_D2_Distributor'!J29,'S3_D3_Distributor'!J29)</f>
        <v/>
      </c>
      <c r="AA32" s="2">
        <f>CHOOSE(Inputs!$B$12,'S3_D1_Distributor'!P29,'S3_D2_Distributor'!P29,'S3_D3_Distributor'!P29)</f>
        <v/>
      </c>
      <c r="AB32" s="2">
        <f>CHOOSE(Inputs!$B$12,'S3_D1_Distributor'!K29,'S3_D2_Distributor'!K29,'S3_D3_Distributor'!K29)</f>
        <v/>
      </c>
      <c r="AC32" s="2">
        <f>CHOOSE(Inputs!$B$12,'S3_D1_Distributor'!L29,'S3_D2_Distributor'!L29,'S3_D3_Distributor'!L29)</f>
        <v/>
      </c>
      <c r="AD32" s="2">
        <f>CHOOSE(Inputs!$B$12,'S3_D1_Distributor'!M29,'S3_D2_Distributor'!M29,'S3_D3_Distributor'!M29)</f>
        <v/>
      </c>
      <c r="AE32" s="2">
        <f>CHOOSE(Inputs!$B$12,'S3_D1_Distributor'!N29,'S3_D2_Distributor'!N29,'S3_D3_Distributor'!N29)</f>
        <v/>
      </c>
      <c r="AF32" s="2">
        <f>CHOOSE(Inputs!$B$12,'S3_D1_Factory'!C29,'S3_D2_Factory'!C29,'S3_D3_Factory'!C29)</f>
        <v/>
      </c>
      <c r="AG32" s="2">
        <f>CHOOSE(Inputs!$B$12,'S3_D1_Factory'!D29,'S3_D2_Factory'!D29,'S3_D3_Factory'!D29)</f>
        <v/>
      </c>
      <c r="AH32" s="2">
        <f>CHOOSE(Inputs!$B$12,'S3_D1_Factory'!H29,'S3_D2_Factory'!H29,'S3_D3_Factory'!H29)</f>
        <v/>
      </c>
      <c r="AI32" s="2">
        <f>CHOOSE(Inputs!$B$12,'S3_D1_Factory'!I29,'S3_D2_Factory'!I29,'S3_D3_Factory'!I29)</f>
        <v/>
      </c>
      <c r="AJ32" s="2">
        <f>CHOOSE(Inputs!$B$12,'S3_D1_Factory'!J29,'S3_D2_Factory'!J29,'S3_D3_Factory'!J29)</f>
        <v/>
      </c>
      <c r="AK32" s="2">
        <f>CHOOSE(Inputs!$B$12,'S3_D1_Factory'!P29,'S3_D2_Factory'!P29,'S3_D3_Factory'!P29)</f>
        <v/>
      </c>
      <c r="AL32" s="2">
        <f>CHOOSE(Inputs!$B$12,'S3_D1_Factory'!K29,'S3_D2_Factory'!K29,'S3_D3_Factory'!K29)</f>
        <v/>
      </c>
      <c r="AM32" s="2">
        <f>CHOOSE(Inputs!$B$12,'S3_D1_Factory'!L29,'S3_D2_Factory'!L29,'S3_D3_Factory'!L29)</f>
        <v/>
      </c>
      <c r="AN32" s="2">
        <f>CHOOSE(Inputs!$B$12,'S3_D1_Factory'!M29,'S3_D2_Factory'!M29,'S3_D3_Factory'!M29)</f>
        <v/>
      </c>
      <c r="AO32" s="2">
        <f>CHOOSE(Inputs!$B$12,'S3_D1_Factory'!N29,'S3_D2_Factory'!N29,'S3_D3_Factory'!N29)</f>
        <v/>
      </c>
      <c r="AP32" s="2">
        <f>SUM(H32,R32,AB32,AL32)</f>
        <v/>
      </c>
      <c r="AQ32" s="2">
        <f>SUM(I32,S32,AC32,AM32)</f>
        <v/>
      </c>
      <c r="AR32" s="2">
        <f>SUM(J32,T32,AD32,AN32)</f>
        <v/>
      </c>
      <c r="AS32" s="2">
        <f>AS31+AR32</f>
        <v/>
      </c>
    </row>
    <row r="33">
      <c r="A33" s="2" t="n">
        <v>29</v>
      </c>
      <c r="B33" s="2">
        <f>CHOOSE(Inputs!$B$12,'S3_D1_Retailer'!C30,'S3_D2_Retailer'!C30,'S3_D3_Retailer'!C30)</f>
        <v/>
      </c>
      <c r="C33" s="2">
        <f>CHOOSE(Inputs!$B$12,'S3_D1_Retailer'!D30,'S3_D2_Retailer'!D30,'S3_D3_Retailer'!D30)</f>
        <v/>
      </c>
      <c r="D33" s="2">
        <f>CHOOSE(Inputs!$B$12,'S3_D1_Retailer'!H30,'S3_D2_Retailer'!H30,'S3_D3_Retailer'!H30)</f>
        <v/>
      </c>
      <c r="E33" s="2">
        <f>CHOOSE(Inputs!$B$12,'S3_D1_Retailer'!I30,'S3_D2_Retailer'!I30,'S3_D3_Retailer'!I30)</f>
        <v/>
      </c>
      <c r="F33" s="2">
        <f>CHOOSE(Inputs!$B$12,'S3_D1_Retailer'!J30,'S3_D2_Retailer'!J30,'S3_D3_Retailer'!J30)</f>
        <v/>
      </c>
      <c r="G33" s="2">
        <f>CHOOSE(Inputs!$B$12,'S3_D1_Retailer'!P30,'S3_D2_Retailer'!P30,'S3_D3_Retailer'!P30)</f>
        <v/>
      </c>
      <c r="H33" s="2">
        <f>CHOOSE(Inputs!$B$12,'S3_D1_Retailer'!K30,'S3_D2_Retailer'!K30,'S3_D3_Retailer'!K30)</f>
        <v/>
      </c>
      <c r="I33" s="2">
        <f>CHOOSE(Inputs!$B$12,'S3_D1_Retailer'!L30,'S3_D2_Retailer'!L30,'S3_D3_Retailer'!L30)</f>
        <v/>
      </c>
      <c r="J33" s="2">
        <f>CHOOSE(Inputs!$B$12,'S3_D1_Retailer'!M30,'S3_D2_Retailer'!M30,'S3_D3_Retailer'!M30)</f>
        <v/>
      </c>
      <c r="K33" s="2">
        <f>CHOOSE(Inputs!$B$12,'S3_D1_Retailer'!N30,'S3_D2_Retailer'!N30,'S3_D3_Retailer'!N30)</f>
        <v/>
      </c>
      <c r="L33" s="2">
        <f>CHOOSE(Inputs!$B$12,'S3_D1_Wholesaler'!C30,'S3_D2_Wholesaler'!C30,'S3_D3_Wholesaler'!C30)</f>
        <v/>
      </c>
      <c r="M33" s="2">
        <f>CHOOSE(Inputs!$B$12,'S3_D1_Wholesaler'!D30,'S3_D2_Wholesaler'!D30,'S3_D3_Wholesaler'!D30)</f>
        <v/>
      </c>
      <c r="N33" s="2">
        <f>CHOOSE(Inputs!$B$12,'S3_D1_Wholesaler'!H30,'S3_D2_Wholesaler'!H30,'S3_D3_Wholesaler'!H30)</f>
        <v/>
      </c>
      <c r="O33" s="2">
        <f>CHOOSE(Inputs!$B$12,'S3_D1_Wholesaler'!I30,'S3_D2_Wholesaler'!I30,'S3_D3_Wholesaler'!I30)</f>
        <v/>
      </c>
      <c r="P33" s="2">
        <f>CHOOSE(Inputs!$B$12,'S3_D1_Wholesaler'!J30,'S3_D2_Wholesaler'!J30,'S3_D3_Wholesaler'!J30)</f>
        <v/>
      </c>
      <c r="Q33" s="2">
        <f>CHOOSE(Inputs!$B$12,'S3_D1_Wholesaler'!P30,'S3_D2_Wholesaler'!P30,'S3_D3_Wholesaler'!P30)</f>
        <v/>
      </c>
      <c r="R33" s="2">
        <f>CHOOSE(Inputs!$B$12,'S3_D1_Wholesaler'!K30,'S3_D2_Wholesaler'!K30,'S3_D3_Wholesaler'!K30)</f>
        <v/>
      </c>
      <c r="S33" s="2">
        <f>CHOOSE(Inputs!$B$12,'S3_D1_Wholesaler'!L30,'S3_D2_Wholesaler'!L30,'S3_D3_Wholesaler'!L30)</f>
        <v/>
      </c>
      <c r="T33" s="2">
        <f>CHOOSE(Inputs!$B$12,'S3_D1_Wholesaler'!M30,'S3_D2_Wholesaler'!M30,'S3_D3_Wholesaler'!M30)</f>
        <v/>
      </c>
      <c r="U33" s="2">
        <f>CHOOSE(Inputs!$B$12,'S3_D1_Wholesaler'!N30,'S3_D2_Wholesaler'!N30,'S3_D3_Wholesaler'!N30)</f>
        <v/>
      </c>
      <c r="V33" s="2">
        <f>CHOOSE(Inputs!$B$12,'S3_D1_Distributor'!C30,'S3_D2_Distributor'!C30,'S3_D3_Distributor'!C30)</f>
        <v/>
      </c>
      <c r="W33" s="2">
        <f>CHOOSE(Inputs!$B$12,'S3_D1_Distributor'!D30,'S3_D2_Distributor'!D30,'S3_D3_Distributor'!D30)</f>
        <v/>
      </c>
      <c r="X33" s="2">
        <f>CHOOSE(Inputs!$B$12,'S3_D1_Distributor'!H30,'S3_D2_Distributor'!H30,'S3_D3_Distributor'!H30)</f>
        <v/>
      </c>
      <c r="Y33" s="2">
        <f>CHOOSE(Inputs!$B$12,'S3_D1_Distributor'!I30,'S3_D2_Distributor'!I30,'S3_D3_Distributor'!I30)</f>
        <v/>
      </c>
      <c r="Z33" s="2">
        <f>CHOOSE(Inputs!$B$12,'S3_D1_Distributor'!J30,'S3_D2_Distributor'!J30,'S3_D3_Distributor'!J30)</f>
        <v/>
      </c>
      <c r="AA33" s="2">
        <f>CHOOSE(Inputs!$B$12,'S3_D1_Distributor'!P30,'S3_D2_Distributor'!P30,'S3_D3_Distributor'!P30)</f>
        <v/>
      </c>
      <c r="AB33" s="2">
        <f>CHOOSE(Inputs!$B$12,'S3_D1_Distributor'!K30,'S3_D2_Distributor'!K30,'S3_D3_Distributor'!K30)</f>
        <v/>
      </c>
      <c r="AC33" s="2">
        <f>CHOOSE(Inputs!$B$12,'S3_D1_Distributor'!L30,'S3_D2_Distributor'!L30,'S3_D3_Distributor'!L30)</f>
        <v/>
      </c>
      <c r="AD33" s="2">
        <f>CHOOSE(Inputs!$B$12,'S3_D1_Distributor'!M30,'S3_D2_Distributor'!M30,'S3_D3_Distributor'!M30)</f>
        <v/>
      </c>
      <c r="AE33" s="2">
        <f>CHOOSE(Inputs!$B$12,'S3_D1_Distributor'!N30,'S3_D2_Distributor'!N30,'S3_D3_Distributor'!N30)</f>
        <v/>
      </c>
      <c r="AF33" s="2">
        <f>CHOOSE(Inputs!$B$12,'S3_D1_Factory'!C30,'S3_D2_Factory'!C30,'S3_D3_Factory'!C30)</f>
        <v/>
      </c>
      <c r="AG33" s="2">
        <f>CHOOSE(Inputs!$B$12,'S3_D1_Factory'!D30,'S3_D2_Factory'!D30,'S3_D3_Factory'!D30)</f>
        <v/>
      </c>
      <c r="AH33" s="2">
        <f>CHOOSE(Inputs!$B$12,'S3_D1_Factory'!H30,'S3_D2_Factory'!H30,'S3_D3_Factory'!H30)</f>
        <v/>
      </c>
      <c r="AI33" s="2">
        <f>CHOOSE(Inputs!$B$12,'S3_D1_Factory'!I30,'S3_D2_Factory'!I30,'S3_D3_Factory'!I30)</f>
        <v/>
      </c>
      <c r="AJ33" s="2">
        <f>CHOOSE(Inputs!$B$12,'S3_D1_Factory'!J30,'S3_D2_Factory'!J30,'S3_D3_Factory'!J30)</f>
        <v/>
      </c>
      <c r="AK33" s="2">
        <f>CHOOSE(Inputs!$B$12,'S3_D1_Factory'!P30,'S3_D2_Factory'!P30,'S3_D3_Factory'!P30)</f>
        <v/>
      </c>
      <c r="AL33" s="2">
        <f>CHOOSE(Inputs!$B$12,'S3_D1_Factory'!K30,'S3_D2_Factory'!K30,'S3_D3_Factory'!K30)</f>
        <v/>
      </c>
      <c r="AM33" s="2">
        <f>CHOOSE(Inputs!$B$12,'S3_D1_Factory'!L30,'S3_D2_Factory'!L30,'S3_D3_Factory'!L30)</f>
        <v/>
      </c>
      <c r="AN33" s="2">
        <f>CHOOSE(Inputs!$B$12,'S3_D1_Factory'!M30,'S3_D2_Factory'!M30,'S3_D3_Factory'!M30)</f>
        <v/>
      </c>
      <c r="AO33" s="2">
        <f>CHOOSE(Inputs!$B$12,'S3_D1_Factory'!N30,'S3_D2_Factory'!N30,'S3_D3_Factory'!N30)</f>
        <v/>
      </c>
      <c r="AP33" s="2">
        <f>SUM(H33,R33,AB33,AL33)</f>
        <v/>
      </c>
      <c r="AQ33" s="2">
        <f>SUM(I33,S33,AC33,AM33)</f>
        <v/>
      </c>
      <c r="AR33" s="2">
        <f>SUM(J33,T33,AD33,AN33)</f>
        <v/>
      </c>
      <c r="AS33" s="2">
        <f>AS32+AR33</f>
        <v/>
      </c>
    </row>
    <row r="34">
      <c r="A34" s="2" t="n">
        <v>30</v>
      </c>
      <c r="B34" s="2">
        <f>CHOOSE(Inputs!$B$12,'S3_D1_Retailer'!C31,'S3_D2_Retailer'!C31,'S3_D3_Retailer'!C31)</f>
        <v/>
      </c>
      <c r="C34" s="2">
        <f>CHOOSE(Inputs!$B$12,'S3_D1_Retailer'!D31,'S3_D2_Retailer'!D31,'S3_D3_Retailer'!D31)</f>
        <v/>
      </c>
      <c r="D34" s="2">
        <f>CHOOSE(Inputs!$B$12,'S3_D1_Retailer'!H31,'S3_D2_Retailer'!H31,'S3_D3_Retailer'!H31)</f>
        <v/>
      </c>
      <c r="E34" s="2">
        <f>CHOOSE(Inputs!$B$12,'S3_D1_Retailer'!I31,'S3_D2_Retailer'!I31,'S3_D3_Retailer'!I31)</f>
        <v/>
      </c>
      <c r="F34" s="2">
        <f>CHOOSE(Inputs!$B$12,'S3_D1_Retailer'!J31,'S3_D2_Retailer'!J31,'S3_D3_Retailer'!J31)</f>
        <v/>
      </c>
      <c r="G34" s="2">
        <f>CHOOSE(Inputs!$B$12,'S3_D1_Retailer'!P31,'S3_D2_Retailer'!P31,'S3_D3_Retailer'!P31)</f>
        <v/>
      </c>
      <c r="H34" s="2">
        <f>CHOOSE(Inputs!$B$12,'S3_D1_Retailer'!K31,'S3_D2_Retailer'!K31,'S3_D3_Retailer'!K31)</f>
        <v/>
      </c>
      <c r="I34" s="2">
        <f>CHOOSE(Inputs!$B$12,'S3_D1_Retailer'!L31,'S3_D2_Retailer'!L31,'S3_D3_Retailer'!L31)</f>
        <v/>
      </c>
      <c r="J34" s="2">
        <f>CHOOSE(Inputs!$B$12,'S3_D1_Retailer'!M31,'S3_D2_Retailer'!M31,'S3_D3_Retailer'!M31)</f>
        <v/>
      </c>
      <c r="K34" s="2">
        <f>CHOOSE(Inputs!$B$12,'S3_D1_Retailer'!N31,'S3_D2_Retailer'!N31,'S3_D3_Retailer'!N31)</f>
        <v/>
      </c>
      <c r="L34" s="2">
        <f>CHOOSE(Inputs!$B$12,'S3_D1_Wholesaler'!C31,'S3_D2_Wholesaler'!C31,'S3_D3_Wholesaler'!C31)</f>
        <v/>
      </c>
      <c r="M34" s="2">
        <f>CHOOSE(Inputs!$B$12,'S3_D1_Wholesaler'!D31,'S3_D2_Wholesaler'!D31,'S3_D3_Wholesaler'!D31)</f>
        <v/>
      </c>
      <c r="N34" s="2">
        <f>CHOOSE(Inputs!$B$12,'S3_D1_Wholesaler'!H31,'S3_D2_Wholesaler'!H31,'S3_D3_Wholesaler'!H31)</f>
        <v/>
      </c>
      <c r="O34" s="2">
        <f>CHOOSE(Inputs!$B$12,'S3_D1_Wholesaler'!I31,'S3_D2_Wholesaler'!I31,'S3_D3_Wholesaler'!I31)</f>
        <v/>
      </c>
      <c r="P34" s="2">
        <f>CHOOSE(Inputs!$B$12,'S3_D1_Wholesaler'!J31,'S3_D2_Wholesaler'!J31,'S3_D3_Wholesaler'!J31)</f>
        <v/>
      </c>
      <c r="Q34" s="2">
        <f>CHOOSE(Inputs!$B$12,'S3_D1_Wholesaler'!P31,'S3_D2_Wholesaler'!P31,'S3_D3_Wholesaler'!P31)</f>
        <v/>
      </c>
      <c r="R34" s="2">
        <f>CHOOSE(Inputs!$B$12,'S3_D1_Wholesaler'!K31,'S3_D2_Wholesaler'!K31,'S3_D3_Wholesaler'!K31)</f>
        <v/>
      </c>
      <c r="S34" s="2">
        <f>CHOOSE(Inputs!$B$12,'S3_D1_Wholesaler'!L31,'S3_D2_Wholesaler'!L31,'S3_D3_Wholesaler'!L31)</f>
        <v/>
      </c>
      <c r="T34" s="2">
        <f>CHOOSE(Inputs!$B$12,'S3_D1_Wholesaler'!M31,'S3_D2_Wholesaler'!M31,'S3_D3_Wholesaler'!M31)</f>
        <v/>
      </c>
      <c r="U34" s="2">
        <f>CHOOSE(Inputs!$B$12,'S3_D1_Wholesaler'!N31,'S3_D2_Wholesaler'!N31,'S3_D3_Wholesaler'!N31)</f>
        <v/>
      </c>
      <c r="V34" s="2">
        <f>CHOOSE(Inputs!$B$12,'S3_D1_Distributor'!C31,'S3_D2_Distributor'!C31,'S3_D3_Distributor'!C31)</f>
        <v/>
      </c>
      <c r="W34" s="2">
        <f>CHOOSE(Inputs!$B$12,'S3_D1_Distributor'!D31,'S3_D2_Distributor'!D31,'S3_D3_Distributor'!D31)</f>
        <v/>
      </c>
      <c r="X34" s="2">
        <f>CHOOSE(Inputs!$B$12,'S3_D1_Distributor'!H31,'S3_D2_Distributor'!H31,'S3_D3_Distributor'!H31)</f>
        <v/>
      </c>
      <c r="Y34" s="2">
        <f>CHOOSE(Inputs!$B$12,'S3_D1_Distributor'!I31,'S3_D2_Distributor'!I31,'S3_D3_Distributor'!I31)</f>
        <v/>
      </c>
      <c r="Z34" s="2">
        <f>CHOOSE(Inputs!$B$12,'S3_D1_Distributor'!J31,'S3_D2_Distributor'!J31,'S3_D3_Distributor'!J31)</f>
        <v/>
      </c>
      <c r="AA34" s="2">
        <f>CHOOSE(Inputs!$B$12,'S3_D1_Distributor'!P31,'S3_D2_Distributor'!P31,'S3_D3_Distributor'!P31)</f>
        <v/>
      </c>
      <c r="AB34" s="2">
        <f>CHOOSE(Inputs!$B$12,'S3_D1_Distributor'!K31,'S3_D2_Distributor'!K31,'S3_D3_Distributor'!K31)</f>
        <v/>
      </c>
      <c r="AC34" s="2">
        <f>CHOOSE(Inputs!$B$12,'S3_D1_Distributor'!L31,'S3_D2_Distributor'!L31,'S3_D3_Distributor'!L31)</f>
        <v/>
      </c>
      <c r="AD34" s="2">
        <f>CHOOSE(Inputs!$B$12,'S3_D1_Distributor'!M31,'S3_D2_Distributor'!M31,'S3_D3_Distributor'!M31)</f>
        <v/>
      </c>
      <c r="AE34" s="2">
        <f>CHOOSE(Inputs!$B$12,'S3_D1_Distributor'!N31,'S3_D2_Distributor'!N31,'S3_D3_Distributor'!N31)</f>
        <v/>
      </c>
      <c r="AF34" s="2">
        <f>CHOOSE(Inputs!$B$12,'S3_D1_Factory'!C31,'S3_D2_Factory'!C31,'S3_D3_Factory'!C31)</f>
        <v/>
      </c>
      <c r="AG34" s="2">
        <f>CHOOSE(Inputs!$B$12,'S3_D1_Factory'!D31,'S3_D2_Factory'!D31,'S3_D3_Factory'!D31)</f>
        <v/>
      </c>
      <c r="AH34" s="2">
        <f>CHOOSE(Inputs!$B$12,'S3_D1_Factory'!H31,'S3_D2_Factory'!H31,'S3_D3_Factory'!H31)</f>
        <v/>
      </c>
      <c r="AI34" s="2">
        <f>CHOOSE(Inputs!$B$12,'S3_D1_Factory'!I31,'S3_D2_Factory'!I31,'S3_D3_Factory'!I31)</f>
        <v/>
      </c>
      <c r="AJ34" s="2">
        <f>CHOOSE(Inputs!$B$12,'S3_D1_Factory'!J31,'S3_D2_Factory'!J31,'S3_D3_Factory'!J31)</f>
        <v/>
      </c>
      <c r="AK34" s="2">
        <f>CHOOSE(Inputs!$B$12,'S3_D1_Factory'!P31,'S3_D2_Factory'!P31,'S3_D3_Factory'!P31)</f>
        <v/>
      </c>
      <c r="AL34" s="2">
        <f>CHOOSE(Inputs!$B$12,'S3_D1_Factory'!K31,'S3_D2_Factory'!K31,'S3_D3_Factory'!K31)</f>
        <v/>
      </c>
      <c r="AM34" s="2">
        <f>CHOOSE(Inputs!$B$12,'S3_D1_Factory'!L31,'S3_D2_Factory'!L31,'S3_D3_Factory'!L31)</f>
        <v/>
      </c>
      <c r="AN34" s="2">
        <f>CHOOSE(Inputs!$B$12,'S3_D1_Factory'!M31,'S3_D2_Factory'!M31,'S3_D3_Factory'!M31)</f>
        <v/>
      </c>
      <c r="AO34" s="2">
        <f>CHOOSE(Inputs!$B$12,'S3_D1_Factory'!N31,'S3_D2_Factory'!N31,'S3_D3_Factory'!N31)</f>
        <v/>
      </c>
      <c r="AP34" s="2">
        <f>SUM(H34,R34,AB34,AL34)</f>
        <v/>
      </c>
      <c r="AQ34" s="2">
        <f>SUM(I34,S34,AC34,AM34)</f>
        <v/>
      </c>
      <c r="AR34" s="2">
        <f>SUM(J34,T34,AD34,AN34)</f>
        <v/>
      </c>
      <c r="AS34" s="2">
        <f>AS33+AR34</f>
        <v/>
      </c>
    </row>
    <row r="35">
      <c r="A35" s="2" t="n">
        <v>31</v>
      </c>
      <c r="B35" s="2">
        <f>CHOOSE(Inputs!$B$12,'S3_D1_Retailer'!C32,'S3_D2_Retailer'!C32,'S3_D3_Retailer'!C32)</f>
        <v/>
      </c>
      <c r="C35" s="2">
        <f>CHOOSE(Inputs!$B$12,'S3_D1_Retailer'!D32,'S3_D2_Retailer'!D32,'S3_D3_Retailer'!D32)</f>
        <v/>
      </c>
      <c r="D35" s="2">
        <f>CHOOSE(Inputs!$B$12,'S3_D1_Retailer'!H32,'S3_D2_Retailer'!H32,'S3_D3_Retailer'!H32)</f>
        <v/>
      </c>
      <c r="E35" s="2">
        <f>CHOOSE(Inputs!$B$12,'S3_D1_Retailer'!I32,'S3_D2_Retailer'!I32,'S3_D3_Retailer'!I32)</f>
        <v/>
      </c>
      <c r="F35" s="2">
        <f>CHOOSE(Inputs!$B$12,'S3_D1_Retailer'!J32,'S3_D2_Retailer'!J32,'S3_D3_Retailer'!J32)</f>
        <v/>
      </c>
      <c r="G35" s="2">
        <f>CHOOSE(Inputs!$B$12,'S3_D1_Retailer'!P32,'S3_D2_Retailer'!P32,'S3_D3_Retailer'!P32)</f>
        <v/>
      </c>
      <c r="H35" s="2">
        <f>CHOOSE(Inputs!$B$12,'S3_D1_Retailer'!K32,'S3_D2_Retailer'!K32,'S3_D3_Retailer'!K32)</f>
        <v/>
      </c>
      <c r="I35" s="2">
        <f>CHOOSE(Inputs!$B$12,'S3_D1_Retailer'!L32,'S3_D2_Retailer'!L32,'S3_D3_Retailer'!L32)</f>
        <v/>
      </c>
      <c r="J35" s="2">
        <f>CHOOSE(Inputs!$B$12,'S3_D1_Retailer'!M32,'S3_D2_Retailer'!M32,'S3_D3_Retailer'!M32)</f>
        <v/>
      </c>
      <c r="K35" s="2">
        <f>CHOOSE(Inputs!$B$12,'S3_D1_Retailer'!N32,'S3_D2_Retailer'!N32,'S3_D3_Retailer'!N32)</f>
        <v/>
      </c>
      <c r="L35" s="2">
        <f>CHOOSE(Inputs!$B$12,'S3_D1_Wholesaler'!C32,'S3_D2_Wholesaler'!C32,'S3_D3_Wholesaler'!C32)</f>
        <v/>
      </c>
      <c r="M35" s="2">
        <f>CHOOSE(Inputs!$B$12,'S3_D1_Wholesaler'!D32,'S3_D2_Wholesaler'!D32,'S3_D3_Wholesaler'!D32)</f>
        <v/>
      </c>
      <c r="N35" s="2">
        <f>CHOOSE(Inputs!$B$12,'S3_D1_Wholesaler'!H32,'S3_D2_Wholesaler'!H32,'S3_D3_Wholesaler'!H32)</f>
        <v/>
      </c>
      <c r="O35" s="2">
        <f>CHOOSE(Inputs!$B$12,'S3_D1_Wholesaler'!I32,'S3_D2_Wholesaler'!I32,'S3_D3_Wholesaler'!I32)</f>
        <v/>
      </c>
      <c r="P35" s="2">
        <f>CHOOSE(Inputs!$B$12,'S3_D1_Wholesaler'!J32,'S3_D2_Wholesaler'!J32,'S3_D3_Wholesaler'!J32)</f>
        <v/>
      </c>
      <c r="Q35" s="2">
        <f>CHOOSE(Inputs!$B$12,'S3_D1_Wholesaler'!P32,'S3_D2_Wholesaler'!P32,'S3_D3_Wholesaler'!P32)</f>
        <v/>
      </c>
      <c r="R35" s="2">
        <f>CHOOSE(Inputs!$B$12,'S3_D1_Wholesaler'!K32,'S3_D2_Wholesaler'!K32,'S3_D3_Wholesaler'!K32)</f>
        <v/>
      </c>
      <c r="S35" s="2">
        <f>CHOOSE(Inputs!$B$12,'S3_D1_Wholesaler'!L32,'S3_D2_Wholesaler'!L32,'S3_D3_Wholesaler'!L32)</f>
        <v/>
      </c>
      <c r="T35" s="2">
        <f>CHOOSE(Inputs!$B$12,'S3_D1_Wholesaler'!M32,'S3_D2_Wholesaler'!M32,'S3_D3_Wholesaler'!M32)</f>
        <v/>
      </c>
      <c r="U35" s="2">
        <f>CHOOSE(Inputs!$B$12,'S3_D1_Wholesaler'!N32,'S3_D2_Wholesaler'!N32,'S3_D3_Wholesaler'!N32)</f>
        <v/>
      </c>
      <c r="V35" s="2">
        <f>CHOOSE(Inputs!$B$12,'S3_D1_Distributor'!C32,'S3_D2_Distributor'!C32,'S3_D3_Distributor'!C32)</f>
        <v/>
      </c>
      <c r="W35" s="2">
        <f>CHOOSE(Inputs!$B$12,'S3_D1_Distributor'!D32,'S3_D2_Distributor'!D32,'S3_D3_Distributor'!D32)</f>
        <v/>
      </c>
      <c r="X35" s="2">
        <f>CHOOSE(Inputs!$B$12,'S3_D1_Distributor'!H32,'S3_D2_Distributor'!H32,'S3_D3_Distributor'!H32)</f>
        <v/>
      </c>
      <c r="Y35" s="2">
        <f>CHOOSE(Inputs!$B$12,'S3_D1_Distributor'!I32,'S3_D2_Distributor'!I32,'S3_D3_Distributor'!I32)</f>
        <v/>
      </c>
      <c r="Z35" s="2">
        <f>CHOOSE(Inputs!$B$12,'S3_D1_Distributor'!J32,'S3_D2_Distributor'!J32,'S3_D3_Distributor'!J32)</f>
        <v/>
      </c>
      <c r="AA35" s="2">
        <f>CHOOSE(Inputs!$B$12,'S3_D1_Distributor'!P32,'S3_D2_Distributor'!P32,'S3_D3_Distributor'!P32)</f>
        <v/>
      </c>
      <c r="AB35" s="2">
        <f>CHOOSE(Inputs!$B$12,'S3_D1_Distributor'!K32,'S3_D2_Distributor'!K32,'S3_D3_Distributor'!K32)</f>
        <v/>
      </c>
      <c r="AC35" s="2">
        <f>CHOOSE(Inputs!$B$12,'S3_D1_Distributor'!L32,'S3_D2_Distributor'!L32,'S3_D3_Distributor'!L32)</f>
        <v/>
      </c>
      <c r="AD35" s="2">
        <f>CHOOSE(Inputs!$B$12,'S3_D1_Distributor'!M32,'S3_D2_Distributor'!M32,'S3_D3_Distributor'!M32)</f>
        <v/>
      </c>
      <c r="AE35" s="2">
        <f>CHOOSE(Inputs!$B$12,'S3_D1_Distributor'!N32,'S3_D2_Distributor'!N32,'S3_D3_Distributor'!N32)</f>
        <v/>
      </c>
      <c r="AF35" s="2">
        <f>CHOOSE(Inputs!$B$12,'S3_D1_Factory'!C32,'S3_D2_Factory'!C32,'S3_D3_Factory'!C32)</f>
        <v/>
      </c>
      <c r="AG35" s="2">
        <f>CHOOSE(Inputs!$B$12,'S3_D1_Factory'!D32,'S3_D2_Factory'!D32,'S3_D3_Factory'!D32)</f>
        <v/>
      </c>
      <c r="AH35" s="2">
        <f>CHOOSE(Inputs!$B$12,'S3_D1_Factory'!H32,'S3_D2_Factory'!H32,'S3_D3_Factory'!H32)</f>
        <v/>
      </c>
      <c r="AI35" s="2">
        <f>CHOOSE(Inputs!$B$12,'S3_D1_Factory'!I32,'S3_D2_Factory'!I32,'S3_D3_Factory'!I32)</f>
        <v/>
      </c>
      <c r="AJ35" s="2">
        <f>CHOOSE(Inputs!$B$12,'S3_D1_Factory'!J32,'S3_D2_Factory'!J32,'S3_D3_Factory'!J32)</f>
        <v/>
      </c>
      <c r="AK35" s="2">
        <f>CHOOSE(Inputs!$B$12,'S3_D1_Factory'!P32,'S3_D2_Factory'!P32,'S3_D3_Factory'!P32)</f>
        <v/>
      </c>
      <c r="AL35" s="2">
        <f>CHOOSE(Inputs!$B$12,'S3_D1_Factory'!K32,'S3_D2_Factory'!K32,'S3_D3_Factory'!K32)</f>
        <v/>
      </c>
      <c r="AM35" s="2">
        <f>CHOOSE(Inputs!$B$12,'S3_D1_Factory'!L32,'S3_D2_Factory'!L32,'S3_D3_Factory'!L32)</f>
        <v/>
      </c>
      <c r="AN35" s="2">
        <f>CHOOSE(Inputs!$B$12,'S3_D1_Factory'!M32,'S3_D2_Factory'!M32,'S3_D3_Factory'!M32)</f>
        <v/>
      </c>
      <c r="AO35" s="2">
        <f>CHOOSE(Inputs!$B$12,'S3_D1_Factory'!N32,'S3_D2_Factory'!N32,'S3_D3_Factory'!N32)</f>
        <v/>
      </c>
      <c r="AP35" s="2">
        <f>SUM(H35,R35,AB35,AL35)</f>
        <v/>
      </c>
      <c r="AQ35" s="2">
        <f>SUM(I35,S35,AC35,AM35)</f>
        <v/>
      </c>
      <c r="AR35" s="2">
        <f>SUM(J35,T35,AD35,AN35)</f>
        <v/>
      </c>
      <c r="AS35" s="2">
        <f>AS34+AR35</f>
        <v/>
      </c>
    </row>
    <row r="36">
      <c r="A36" s="2" t="n">
        <v>32</v>
      </c>
      <c r="B36" s="2">
        <f>CHOOSE(Inputs!$B$12,'S3_D1_Retailer'!C33,'S3_D2_Retailer'!C33,'S3_D3_Retailer'!C33)</f>
        <v/>
      </c>
      <c r="C36" s="2">
        <f>CHOOSE(Inputs!$B$12,'S3_D1_Retailer'!D33,'S3_D2_Retailer'!D33,'S3_D3_Retailer'!D33)</f>
        <v/>
      </c>
      <c r="D36" s="2">
        <f>CHOOSE(Inputs!$B$12,'S3_D1_Retailer'!H33,'S3_D2_Retailer'!H33,'S3_D3_Retailer'!H33)</f>
        <v/>
      </c>
      <c r="E36" s="2">
        <f>CHOOSE(Inputs!$B$12,'S3_D1_Retailer'!I33,'S3_D2_Retailer'!I33,'S3_D3_Retailer'!I33)</f>
        <v/>
      </c>
      <c r="F36" s="2">
        <f>CHOOSE(Inputs!$B$12,'S3_D1_Retailer'!J33,'S3_D2_Retailer'!J33,'S3_D3_Retailer'!J33)</f>
        <v/>
      </c>
      <c r="G36" s="2">
        <f>CHOOSE(Inputs!$B$12,'S3_D1_Retailer'!P33,'S3_D2_Retailer'!P33,'S3_D3_Retailer'!P33)</f>
        <v/>
      </c>
      <c r="H36" s="2">
        <f>CHOOSE(Inputs!$B$12,'S3_D1_Retailer'!K33,'S3_D2_Retailer'!K33,'S3_D3_Retailer'!K33)</f>
        <v/>
      </c>
      <c r="I36" s="2">
        <f>CHOOSE(Inputs!$B$12,'S3_D1_Retailer'!L33,'S3_D2_Retailer'!L33,'S3_D3_Retailer'!L33)</f>
        <v/>
      </c>
      <c r="J36" s="2">
        <f>CHOOSE(Inputs!$B$12,'S3_D1_Retailer'!M33,'S3_D2_Retailer'!M33,'S3_D3_Retailer'!M33)</f>
        <v/>
      </c>
      <c r="K36" s="2">
        <f>CHOOSE(Inputs!$B$12,'S3_D1_Retailer'!N33,'S3_D2_Retailer'!N33,'S3_D3_Retailer'!N33)</f>
        <v/>
      </c>
      <c r="L36" s="2">
        <f>CHOOSE(Inputs!$B$12,'S3_D1_Wholesaler'!C33,'S3_D2_Wholesaler'!C33,'S3_D3_Wholesaler'!C33)</f>
        <v/>
      </c>
      <c r="M36" s="2">
        <f>CHOOSE(Inputs!$B$12,'S3_D1_Wholesaler'!D33,'S3_D2_Wholesaler'!D33,'S3_D3_Wholesaler'!D33)</f>
        <v/>
      </c>
      <c r="N36" s="2">
        <f>CHOOSE(Inputs!$B$12,'S3_D1_Wholesaler'!H33,'S3_D2_Wholesaler'!H33,'S3_D3_Wholesaler'!H33)</f>
        <v/>
      </c>
      <c r="O36" s="2">
        <f>CHOOSE(Inputs!$B$12,'S3_D1_Wholesaler'!I33,'S3_D2_Wholesaler'!I33,'S3_D3_Wholesaler'!I33)</f>
        <v/>
      </c>
      <c r="P36" s="2">
        <f>CHOOSE(Inputs!$B$12,'S3_D1_Wholesaler'!J33,'S3_D2_Wholesaler'!J33,'S3_D3_Wholesaler'!J33)</f>
        <v/>
      </c>
      <c r="Q36" s="2">
        <f>CHOOSE(Inputs!$B$12,'S3_D1_Wholesaler'!P33,'S3_D2_Wholesaler'!P33,'S3_D3_Wholesaler'!P33)</f>
        <v/>
      </c>
      <c r="R36" s="2">
        <f>CHOOSE(Inputs!$B$12,'S3_D1_Wholesaler'!K33,'S3_D2_Wholesaler'!K33,'S3_D3_Wholesaler'!K33)</f>
        <v/>
      </c>
      <c r="S36" s="2">
        <f>CHOOSE(Inputs!$B$12,'S3_D1_Wholesaler'!L33,'S3_D2_Wholesaler'!L33,'S3_D3_Wholesaler'!L33)</f>
        <v/>
      </c>
      <c r="T36" s="2">
        <f>CHOOSE(Inputs!$B$12,'S3_D1_Wholesaler'!M33,'S3_D2_Wholesaler'!M33,'S3_D3_Wholesaler'!M33)</f>
        <v/>
      </c>
      <c r="U36" s="2">
        <f>CHOOSE(Inputs!$B$12,'S3_D1_Wholesaler'!N33,'S3_D2_Wholesaler'!N33,'S3_D3_Wholesaler'!N33)</f>
        <v/>
      </c>
      <c r="V36" s="2">
        <f>CHOOSE(Inputs!$B$12,'S3_D1_Distributor'!C33,'S3_D2_Distributor'!C33,'S3_D3_Distributor'!C33)</f>
        <v/>
      </c>
      <c r="W36" s="2">
        <f>CHOOSE(Inputs!$B$12,'S3_D1_Distributor'!D33,'S3_D2_Distributor'!D33,'S3_D3_Distributor'!D33)</f>
        <v/>
      </c>
      <c r="X36" s="2">
        <f>CHOOSE(Inputs!$B$12,'S3_D1_Distributor'!H33,'S3_D2_Distributor'!H33,'S3_D3_Distributor'!H33)</f>
        <v/>
      </c>
      <c r="Y36" s="2">
        <f>CHOOSE(Inputs!$B$12,'S3_D1_Distributor'!I33,'S3_D2_Distributor'!I33,'S3_D3_Distributor'!I33)</f>
        <v/>
      </c>
      <c r="Z36" s="2">
        <f>CHOOSE(Inputs!$B$12,'S3_D1_Distributor'!J33,'S3_D2_Distributor'!J33,'S3_D3_Distributor'!J33)</f>
        <v/>
      </c>
      <c r="AA36" s="2">
        <f>CHOOSE(Inputs!$B$12,'S3_D1_Distributor'!P33,'S3_D2_Distributor'!P33,'S3_D3_Distributor'!P33)</f>
        <v/>
      </c>
      <c r="AB36" s="2">
        <f>CHOOSE(Inputs!$B$12,'S3_D1_Distributor'!K33,'S3_D2_Distributor'!K33,'S3_D3_Distributor'!K33)</f>
        <v/>
      </c>
      <c r="AC36" s="2">
        <f>CHOOSE(Inputs!$B$12,'S3_D1_Distributor'!L33,'S3_D2_Distributor'!L33,'S3_D3_Distributor'!L33)</f>
        <v/>
      </c>
      <c r="AD36" s="2">
        <f>CHOOSE(Inputs!$B$12,'S3_D1_Distributor'!M33,'S3_D2_Distributor'!M33,'S3_D3_Distributor'!M33)</f>
        <v/>
      </c>
      <c r="AE36" s="2">
        <f>CHOOSE(Inputs!$B$12,'S3_D1_Distributor'!N33,'S3_D2_Distributor'!N33,'S3_D3_Distributor'!N33)</f>
        <v/>
      </c>
      <c r="AF36" s="2">
        <f>CHOOSE(Inputs!$B$12,'S3_D1_Factory'!C33,'S3_D2_Factory'!C33,'S3_D3_Factory'!C33)</f>
        <v/>
      </c>
      <c r="AG36" s="2">
        <f>CHOOSE(Inputs!$B$12,'S3_D1_Factory'!D33,'S3_D2_Factory'!D33,'S3_D3_Factory'!D33)</f>
        <v/>
      </c>
      <c r="AH36" s="2">
        <f>CHOOSE(Inputs!$B$12,'S3_D1_Factory'!H33,'S3_D2_Factory'!H33,'S3_D3_Factory'!H33)</f>
        <v/>
      </c>
      <c r="AI36" s="2">
        <f>CHOOSE(Inputs!$B$12,'S3_D1_Factory'!I33,'S3_D2_Factory'!I33,'S3_D3_Factory'!I33)</f>
        <v/>
      </c>
      <c r="AJ36" s="2">
        <f>CHOOSE(Inputs!$B$12,'S3_D1_Factory'!J33,'S3_D2_Factory'!J33,'S3_D3_Factory'!J33)</f>
        <v/>
      </c>
      <c r="AK36" s="2">
        <f>CHOOSE(Inputs!$B$12,'S3_D1_Factory'!P33,'S3_D2_Factory'!P33,'S3_D3_Factory'!P33)</f>
        <v/>
      </c>
      <c r="AL36" s="2">
        <f>CHOOSE(Inputs!$B$12,'S3_D1_Factory'!K33,'S3_D2_Factory'!K33,'S3_D3_Factory'!K33)</f>
        <v/>
      </c>
      <c r="AM36" s="2">
        <f>CHOOSE(Inputs!$B$12,'S3_D1_Factory'!L33,'S3_D2_Factory'!L33,'S3_D3_Factory'!L33)</f>
        <v/>
      </c>
      <c r="AN36" s="2">
        <f>CHOOSE(Inputs!$B$12,'S3_D1_Factory'!M33,'S3_D2_Factory'!M33,'S3_D3_Factory'!M33)</f>
        <v/>
      </c>
      <c r="AO36" s="2">
        <f>CHOOSE(Inputs!$B$12,'S3_D1_Factory'!N33,'S3_D2_Factory'!N33,'S3_D3_Factory'!N33)</f>
        <v/>
      </c>
      <c r="AP36" s="2">
        <f>SUM(H36,R36,AB36,AL36)</f>
        <v/>
      </c>
      <c r="AQ36" s="2">
        <f>SUM(I36,S36,AC36,AM36)</f>
        <v/>
      </c>
      <c r="AR36" s="2">
        <f>SUM(J36,T36,AD36,AN36)</f>
        <v/>
      </c>
      <c r="AS36" s="2">
        <f>AS35+AR36</f>
        <v/>
      </c>
    </row>
    <row r="37">
      <c r="A37" s="2" t="n">
        <v>33</v>
      </c>
      <c r="B37" s="2">
        <f>CHOOSE(Inputs!$B$12,'S3_D1_Retailer'!C34,'S3_D2_Retailer'!C34,'S3_D3_Retailer'!C34)</f>
        <v/>
      </c>
      <c r="C37" s="2">
        <f>CHOOSE(Inputs!$B$12,'S3_D1_Retailer'!D34,'S3_D2_Retailer'!D34,'S3_D3_Retailer'!D34)</f>
        <v/>
      </c>
      <c r="D37" s="2">
        <f>CHOOSE(Inputs!$B$12,'S3_D1_Retailer'!H34,'S3_D2_Retailer'!H34,'S3_D3_Retailer'!H34)</f>
        <v/>
      </c>
      <c r="E37" s="2">
        <f>CHOOSE(Inputs!$B$12,'S3_D1_Retailer'!I34,'S3_D2_Retailer'!I34,'S3_D3_Retailer'!I34)</f>
        <v/>
      </c>
      <c r="F37" s="2">
        <f>CHOOSE(Inputs!$B$12,'S3_D1_Retailer'!J34,'S3_D2_Retailer'!J34,'S3_D3_Retailer'!J34)</f>
        <v/>
      </c>
      <c r="G37" s="2">
        <f>CHOOSE(Inputs!$B$12,'S3_D1_Retailer'!P34,'S3_D2_Retailer'!P34,'S3_D3_Retailer'!P34)</f>
        <v/>
      </c>
      <c r="H37" s="2">
        <f>CHOOSE(Inputs!$B$12,'S3_D1_Retailer'!K34,'S3_D2_Retailer'!K34,'S3_D3_Retailer'!K34)</f>
        <v/>
      </c>
      <c r="I37" s="2">
        <f>CHOOSE(Inputs!$B$12,'S3_D1_Retailer'!L34,'S3_D2_Retailer'!L34,'S3_D3_Retailer'!L34)</f>
        <v/>
      </c>
      <c r="J37" s="2">
        <f>CHOOSE(Inputs!$B$12,'S3_D1_Retailer'!M34,'S3_D2_Retailer'!M34,'S3_D3_Retailer'!M34)</f>
        <v/>
      </c>
      <c r="K37" s="2">
        <f>CHOOSE(Inputs!$B$12,'S3_D1_Retailer'!N34,'S3_D2_Retailer'!N34,'S3_D3_Retailer'!N34)</f>
        <v/>
      </c>
      <c r="L37" s="2">
        <f>CHOOSE(Inputs!$B$12,'S3_D1_Wholesaler'!C34,'S3_D2_Wholesaler'!C34,'S3_D3_Wholesaler'!C34)</f>
        <v/>
      </c>
      <c r="M37" s="2">
        <f>CHOOSE(Inputs!$B$12,'S3_D1_Wholesaler'!D34,'S3_D2_Wholesaler'!D34,'S3_D3_Wholesaler'!D34)</f>
        <v/>
      </c>
      <c r="N37" s="2">
        <f>CHOOSE(Inputs!$B$12,'S3_D1_Wholesaler'!H34,'S3_D2_Wholesaler'!H34,'S3_D3_Wholesaler'!H34)</f>
        <v/>
      </c>
      <c r="O37" s="2">
        <f>CHOOSE(Inputs!$B$12,'S3_D1_Wholesaler'!I34,'S3_D2_Wholesaler'!I34,'S3_D3_Wholesaler'!I34)</f>
        <v/>
      </c>
      <c r="P37" s="2">
        <f>CHOOSE(Inputs!$B$12,'S3_D1_Wholesaler'!J34,'S3_D2_Wholesaler'!J34,'S3_D3_Wholesaler'!J34)</f>
        <v/>
      </c>
      <c r="Q37" s="2">
        <f>CHOOSE(Inputs!$B$12,'S3_D1_Wholesaler'!P34,'S3_D2_Wholesaler'!P34,'S3_D3_Wholesaler'!P34)</f>
        <v/>
      </c>
      <c r="R37" s="2">
        <f>CHOOSE(Inputs!$B$12,'S3_D1_Wholesaler'!K34,'S3_D2_Wholesaler'!K34,'S3_D3_Wholesaler'!K34)</f>
        <v/>
      </c>
      <c r="S37" s="2">
        <f>CHOOSE(Inputs!$B$12,'S3_D1_Wholesaler'!L34,'S3_D2_Wholesaler'!L34,'S3_D3_Wholesaler'!L34)</f>
        <v/>
      </c>
      <c r="T37" s="2">
        <f>CHOOSE(Inputs!$B$12,'S3_D1_Wholesaler'!M34,'S3_D2_Wholesaler'!M34,'S3_D3_Wholesaler'!M34)</f>
        <v/>
      </c>
      <c r="U37" s="2">
        <f>CHOOSE(Inputs!$B$12,'S3_D1_Wholesaler'!N34,'S3_D2_Wholesaler'!N34,'S3_D3_Wholesaler'!N34)</f>
        <v/>
      </c>
      <c r="V37" s="2">
        <f>CHOOSE(Inputs!$B$12,'S3_D1_Distributor'!C34,'S3_D2_Distributor'!C34,'S3_D3_Distributor'!C34)</f>
        <v/>
      </c>
      <c r="W37" s="2">
        <f>CHOOSE(Inputs!$B$12,'S3_D1_Distributor'!D34,'S3_D2_Distributor'!D34,'S3_D3_Distributor'!D34)</f>
        <v/>
      </c>
      <c r="X37" s="2">
        <f>CHOOSE(Inputs!$B$12,'S3_D1_Distributor'!H34,'S3_D2_Distributor'!H34,'S3_D3_Distributor'!H34)</f>
        <v/>
      </c>
      <c r="Y37" s="2">
        <f>CHOOSE(Inputs!$B$12,'S3_D1_Distributor'!I34,'S3_D2_Distributor'!I34,'S3_D3_Distributor'!I34)</f>
        <v/>
      </c>
      <c r="Z37" s="2">
        <f>CHOOSE(Inputs!$B$12,'S3_D1_Distributor'!J34,'S3_D2_Distributor'!J34,'S3_D3_Distributor'!J34)</f>
        <v/>
      </c>
      <c r="AA37" s="2">
        <f>CHOOSE(Inputs!$B$12,'S3_D1_Distributor'!P34,'S3_D2_Distributor'!P34,'S3_D3_Distributor'!P34)</f>
        <v/>
      </c>
      <c r="AB37" s="2">
        <f>CHOOSE(Inputs!$B$12,'S3_D1_Distributor'!K34,'S3_D2_Distributor'!K34,'S3_D3_Distributor'!K34)</f>
        <v/>
      </c>
      <c r="AC37" s="2">
        <f>CHOOSE(Inputs!$B$12,'S3_D1_Distributor'!L34,'S3_D2_Distributor'!L34,'S3_D3_Distributor'!L34)</f>
        <v/>
      </c>
      <c r="AD37" s="2">
        <f>CHOOSE(Inputs!$B$12,'S3_D1_Distributor'!M34,'S3_D2_Distributor'!M34,'S3_D3_Distributor'!M34)</f>
        <v/>
      </c>
      <c r="AE37" s="2">
        <f>CHOOSE(Inputs!$B$12,'S3_D1_Distributor'!N34,'S3_D2_Distributor'!N34,'S3_D3_Distributor'!N34)</f>
        <v/>
      </c>
      <c r="AF37" s="2">
        <f>CHOOSE(Inputs!$B$12,'S3_D1_Factory'!C34,'S3_D2_Factory'!C34,'S3_D3_Factory'!C34)</f>
        <v/>
      </c>
      <c r="AG37" s="2">
        <f>CHOOSE(Inputs!$B$12,'S3_D1_Factory'!D34,'S3_D2_Factory'!D34,'S3_D3_Factory'!D34)</f>
        <v/>
      </c>
      <c r="AH37" s="2">
        <f>CHOOSE(Inputs!$B$12,'S3_D1_Factory'!H34,'S3_D2_Factory'!H34,'S3_D3_Factory'!H34)</f>
        <v/>
      </c>
      <c r="AI37" s="2">
        <f>CHOOSE(Inputs!$B$12,'S3_D1_Factory'!I34,'S3_D2_Factory'!I34,'S3_D3_Factory'!I34)</f>
        <v/>
      </c>
      <c r="AJ37" s="2">
        <f>CHOOSE(Inputs!$B$12,'S3_D1_Factory'!J34,'S3_D2_Factory'!J34,'S3_D3_Factory'!J34)</f>
        <v/>
      </c>
      <c r="AK37" s="2">
        <f>CHOOSE(Inputs!$B$12,'S3_D1_Factory'!P34,'S3_D2_Factory'!P34,'S3_D3_Factory'!P34)</f>
        <v/>
      </c>
      <c r="AL37" s="2">
        <f>CHOOSE(Inputs!$B$12,'S3_D1_Factory'!K34,'S3_D2_Factory'!K34,'S3_D3_Factory'!K34)</f>
        <v/>
      </c>
      <c r="AM37" s="2">
        <f>CHOOSE(Inputs!$B$12,'S3_D1_Factory'!L34,'S3_D2_Factory'!L34,'S3_D3_Factory'!L34)</f>
        <v/>
      </c>
      <c r="AN37" s="2">
        <f>CHOOSE(Inputs!$B$12,'S3_D1_Factory'!M34,'S3_D2_Factory'!M34,'S3_D3_Factory'!M34)</f>
        <v/>
      </c>
      <c r="AO37" s="2">
        <f>CHOOSE(Inputs!$B$12,'S3_D1_Factory'!N34,'S3_D2_Factory'!N34,'S3_D3_Factory'!N34)</f>
        <v/>
      </c>
      <c r="AP37" s="2">
        <f>SUM(H37,R37,AB37,AL37)</f>
        <v/>
      </c>
      <c r="AQ37" s="2">
        <f>SUM(I37,S37,AC37,AM37)</f>
        <v/>
      </c>
      <c r="AR37" s="2">
        <f>SUM(J37,T37,AD37,AN37)</f>
        <v/>
      </c>
      <c r="AS37" s="2">
        <f>AS36+AR37</f>
        <v/>
      </c>
    </row>
    <row r="38">
      <c r="A38" s="2" t="n">
        <v>34</v>
      </c>
      <c r="B38" s="2">
        <f>CHOOSE(Inputs!$B$12,'S3_D1_Retailer'!C35,'S3_D2_Retailer'!C35,'S3_D3_Retailer'!C35)</f>
        <v/>
      </c>
      <c r="C38" s="2">
        <f>CHOOSE(Inputs!$B$12,'S3_D1_Retailer'!D35,'S3_D2_Retailer'!D35,'S3_D3_Retailer'!D35)</f>
        <v/>
      </c>
      <c r="D38" s="2">
        <f>CHOOSE(Inputs!$B$12,'S3_D1_Retailer'!H35,'S3_D2_Retailer'!H35,'S3_D3_Retailer'!H35)</f>
        <v/>
      </c>
      <c r="E38" s="2">
        <f>CHOOSE(Inputs!$B$12,'S3_D1_Retailer'!I35,'S3_D2_Retailer'!I35,'S3_D3_Retailer'!I35)</f>
        <v/>
      </c>
      <c r="F38" s="2">
        <f>CHOOSE(Inputs!$B$12,'S3_D1_Retailer'!J35,'S3_D2_Retailer'!J35,'S3_D3_Retailer'!J35)</f>
        <v/>
      </c>
      <c r="G38" s="2">
        <f>CHOOSE(Inputs!$B$12,'S3_D1_Retailer'!P35,'S3_D2_Retailer'!P35,'S3_D3_Retailer'!P35)</f>
        <v/>
      </c>
      <c r="H38" s="2">
        <f>CHOOSE(Inputs!$B$12,'S3_D1_Retailer'!K35,'S3_D2_Retailer'!K35,'S3_D3_Retailer'!K35)</f>
        <v/>
      </c>
      <c r="I38" s="2">
        <f>CHOOSE(Inputs!$B$12,'S3_D1_Retailer'!L35,'S3_D2_Retailer'!L35,'S3_D3_Retailer'!L35)</f>
        <v/>
      </c>
      <c r="J38" s="2">
        <f>CHOOSE(Inputs!$B$12,'S3_D1_Retailer'!M35,'S3_D2_Retailer'!M35,'S3_D3_Retailer'!M35)</f>
        <v/>
      </c>
      <c r="K38" s="2">
        <f>CHOOSE(Inputs!$B$12,'S3_D1_Retailer'!N35,'S3_D2_Retailer'!N35,'S3_D3_Retailer'!N35)</f>
        <v/>
      </c>
      <c r="L38" s="2">
        <f>CHOOSE(Inputs!$B$12,'S3_D1_Wholesaler'!C35,'S3_D2_Wholesaler'!C35,'S3_D3_Wholesaler'!C35)</f>
        <v/>
      </c>
      <c r="M38" s="2">
        <f>CHOOSE(Inputs!$B$12,'S3_D1_Wholesaler'!D35,'S3_D2_Wholesaler'!D35,'S3_D3_Wholesaler'!D35)</f>
        <v/>
      </c>
      <c r="N38" s="2">
        <f>CHOOSE(Inputs!$B$12,'S3_D1_Wholesaler'!H35,'S3_D2_Wholesaler'!H35,'S3_D3_Wholesaler'!H35)</f>
        <v/>
      </c>
      <c r="O38" s="2">
        <f>CHOOSE(Inputs!$B$12,'S3_D1_Wholesaler'!I35,'S3_D2_Wholesaler'!I35,'S3_D3_Wholesaler'!I35)</f>
        <v/>
      </c>
      <c r="P38" s="2">
        <f>CHOOSE(Inputs!$B$12,'S3_D1_Wholesaler'!J35,'S3_D2_Wholesaler'!J35,'S3_D3_Wholesaler'!J35)</f>
        <v/>
      </c>
      <c r="Q38" s="2">
        <f>CHOOSE(Inputs!$B$12,'S3_D1_Wholesaler'!P35,'S3_D2_Wholesaler'!P35,'S3_D3_Wholesaler'!P35)</f>
        <v/>
      </c>
      <c r="R38" s="2">
        <f>CHOOSE(Inputs!$B$12,'S3_D1_Wholesaler'!K35,'S3_D2_Wholesaler'!K35,'S3_D3_Wholesaler'!K35)</f>
        <v/>
      </c>
      <c r="S38" s="2">
        <f>CHOOSE(Inputs!$B$12,'S3_D1_Wholesaler'!L35,'S3_D2_Wholesaler'!L35,'S3_D3_Wholesaler'!L35)</f>
        <v/>
      </c>
      <c r="T38" s="2">
        <f>CHOOSE(Inputs!$B$12,'S3_D1_Wholesaler'!M35,'S3_D2_Wholesaler'!M35,'S3_D3_Wholesaler'!M35)</f>
        <v/>
      </c>
      <c r="U38" s="2">
        <f>CHOOSE(Inputs!$B$12,'S3_D1_Wholesaler'!N35,'S3_D2_Wholesaler'!N35,'S3_D3_Wholesaler'!N35)</f>
        <v/>
      </c>
      <c r="V38" s="2">
        <f>CHOOSE(Inputs!$B$12,'S3_D1_Distributor'!C35,'S3_D2_Distributor'!C35,'S3_D3_Distributor'!C35)</f>
        <v/>
      </c>
      <c r="W38" s="2">
        <f>CHOOSE(Inputs!$B$12,'S3_D1_Distributor'!D35,'S3_D2_Distributor'!D35,'S3_D3_Distributor'!D35)</f>
        <v/>
      </c>
      <c r="X38" s="2">
        <f>CHOOSE(Inputs!$B$12,'S3_D1_Distributor'!H35,'S3_D2_Distributor'!H35,'S3_D3_Distributor'!H35)</f>
        <v/>
      </c>
      <c r="Y38" s="2">
        <f>CHOOSE(Inputs!$B$12,'S3_D1_Distributor'!I35,'S3_D2_Distributor'!I35,'S3_D3_Distributor'!I35)</f>
        <v/>
      </c>
      <c r="Z38" s="2">
        <f>CHOOSE(Inputs!$B$12,'S3_D1_Distributor'!J35,'S3_D2_Distributor'!J35,'S3_D3_Distributor'!J35)</f>
        <v/>
      </c>
      <c r="AA38" s="2">
        <f>CHOOSE(Inputs!$B$12,'S3_D1_Distributor'!P35,'S3_D2_Distributor'!P35,'S3_D3_Distributor'!P35)</f>
        <v/>
      </c>
      <c r="AB38" s="2">
        <f>CHOOSE(Inputs!$B$12,'S3_D1_Distributor'!K35,'S3_D2_Distributor'!K35,'S3_D3_Distributor'!K35)</f>
        <v/>
      </c>
      <c r="AC38" s="2">
        <f>CHOOSE(Inputs!$B$12,'S3_D1_Distributor'!L35,'S3_D2_Distributor'!L35,'S3_D3_Distributor'!L35)</f>
        <v/>
      </c>
      <c r="AD38" s="2">
        <f>CHOOSE(Inputs!$B$12,'S3_D1_Distributor'!M35,'S3_D2_Distributor'!M35,'S3_D3_Distributor'!M35)</f>
        <v/>
      </c>
      <c r="AE38" s="2">
        <f>CHOOSE(Inputs!$B$12,'S3_D1_Distributor'!N35,'S3_D2_Distributor'!N35,'S3_D3_Distributor'!N35)</f>
        <v/>
      </c>
      <c r="AF38" s="2">
        <f>CHOOSE(Inputs!$B$12,'S3_D1_Factory'!C35,'S3_D2_Factory'!C35,'S3_D3_Factory'!C35)</f>
        <v/>
      </c>
      <c r="AG38" s="2">
        <f>CHOOSE(Inputs!$B$12,'S3_D1_Factory'!D35,'S3_D2_Factory'!D35,'S3_D3_Factory'!D35)</f>
        <v/>
      </c>
      <c r="AH38" s="2">
        <f>CHOOSE(Inputs!$B$12,'S3_D1_Factory'!H35,'S3_D2_Factory'!H35,'S3_D3_Factory'!H35)</f>
        <v/>
      </c>
      <c r="AI38" s="2">
        <f>CHOOSE(Inputs!$B$12,'S3_D1_Factory'!I35,'S3_D2_Factory'!I35,'S3_D3_Factory'!I35)</f>
        <v/>
      </c>
      <c r="AJ38" s="2">
        <f>CHOOSE(Inputs!$B$12,'S3_D1_Factory'!J35,'S3_D2_Factory'!J35,'S3_D3_Factory'!J35)</f>
        <v/>
      </c>
      <c r="AK38" s="2">
        <f>CHOOSE(Inputs!$B$12,'S3_D1_Factory'!P35,'S3_D2_Factory'!P35,'S3_D3_Factory'!P35)</f>
        <v/>
      </c>
      <c r="AL38" s="2">
        <f>CHOOSE(Inputs!$B$12,'S3_D1_Factory'!K35,'S3_D2_Factory'!K35,'S3_D3_Factory'!K35)</f>
        <v/>
      </c>
      <c r="AM38" s="2">
        <f>CHOOSE(Inputs!$B$12,'S3_D1_Factory'!L35,'S3_D2_Factory'!L35,'S3_D3_Factory'!L35)</f>
        <v/>
      </c>
      <c r="AN38" s="2">
        <f>CHOOSE(Inputs!$B$12,'S3_D1_Factory'!M35,'S3_D2_Factory'!M35,'S3_D3_Factory'!M35)</f>
        <v/>
      </c>
      <c r="AO38" s="2">
        <f>CHOOSE(Inputs!$B$12,'S3_D1_Factory'!N35,'S3_D2_Factory'!N35,'S3_D3_Factory'!N35)</f>
        <v/>
      </c>
      <c r="AP38" s="2">
        <f>SUM(H38,R38,AB38,AL38)</f>
        <v/>
      </c>
      <c r="AQ38" s="2">
        <f>SUM(I38,S38,AC38,AM38)</f>
        <v/>
      </c>
      <c r="AR38" s="2">
        <f>SUM(J38,T38,AD38,AN38)</f>
        <v/>
      </c>
      <c r="AS38" s="2">
        <f>AS37+AR38</f>
        <v/>
      </c>
    </row>
    <row r="39">
      <c r="A39" s="2" t="n">
        <v>35</v>
      </c>
      <c r="B39" s="2">
        <f>CHOOSE(Inputs!$B$12,'S3_D1_Retailer'!C36,'S3_D2_Retailer'!C36,'S3_D3_Retailer'!C36)</f>
        <v/>
      </c>
      <c r="C39" s="2">
        <f>CHOOSE(Inputs!$B$12,'S3_D1_Retailer'!D36,'S3_D2_Retailer'!D36,'S3_D3_Retailer'!D36)</f>
        <v/>
      </c>
      <c r="D39" s="2">
        <f>CHOOSE(Inputs!$B$12,'S3_D1_Retailer'!H36,'S3_D2_Retailer'!H36,'S3_D3_Retailer'!H36)</f>
        <v/>
      </c>
      <c r="E39" s="2">
        <f>CHOOSE(Inputs!$B$12,'S3_D1_Retailer'!I36,'S3_D2_Retailer'!I36,'S3_D3_Retailer'!I36)</f>
        <v/>
      </c>
      <c r="F39" s="2">
        <f>CHOOSE(Inputs!$B$12,'S3_D1_Retailer'!J36,'S3_D2_Retailer'!J36,'S3_D3_Retailer'!J36)</f>
        <v/>
      </c>
      <c r="G39" s="2">
        <f>CHOOSE(Inputs!$B$12,'S3_D1_Retailer'!P36,'S3_D2_Retailer'!P36,'S3_D3_Retailer'!P36)</f>
        <v/>
      </c>
      <c r="H39" s="2">
        <f>CHOOSE(Inputs!$B$12,'S3_D1_Retailer'!K36,'S3_D2_Retailer'!K36,'S3_D3_Retailer'!K36)</f>
        <v/>
      </c>
      <c r="I39" s="2">
        <f>CHOOSE(Inputs!$B$12,'S3_D1_Retailer'!L36,'S3_D2_Retailer'!L36,'S3_D3_Retailer'!L36)</f>
        <v/>
      </c>
      <c r="J39" s="2">
        <f>CHOOSE(Inputs!$B$12,'S3_D1_Retailer'!M36,'S3_D2_Retailer'!M36,'S3_D3_Retailer'!M36)</f>
        <v/>
      </c>
      <c r="K39" s="2">
        <f>CHOOSE(Inputs!$B$12,'S3_D1_Retailer'!N36,'S3_D2_Retailer'!N36,'S3_D3_Retailer'!N36)</f>
        <v/>
      </c>
      <c r="L39" s="2">
        <f>CHOOSE(Inputs!$B$12,'S3_D1_Wholesaler'!C36,'S3_D2_Wholesaler'!C36,'S3_D3_Wholesaler'!C36)</f>
        <v/>
      </c>
      <c r="M39" s="2">
        <f>CHOOSE(Inputs!$B$12,'S3_D1_Wholesaler'!D36,'S3_D2_Wholesaler'!D36,'S3_D3_Wholesaler'!D36)</f>
        <v/>
      </c>
      <c r="N39" s="2">
        <f>CHOOSE(Inputs!$B$12,'S3_D1_Wholesaler'!H36,'S3_D2_Wholesaler'!H36,'S3_D3_Wholesaler'!H36)</f>
        <v/>
      </c>
      <c r="O39" s="2">
        <f>CHOOSE(Inputs!$B$12,'S3_D1_Wholesaler'!I36,'S3_D2_Wholesaler'!I36,'S3_D3_Wholesaler'!I36)</f>
        <v/>
      </c>
      <c r="P39" s="2">
        <f>CHOOSE(Inputs!$B$12,'S3_D1_Wholesaler'!J36,'S3_D2_Wholesaler'!J36,'S3_D3_Wholesaler'!J36)</f>
        <v/>
      </c>
      <c r="Q39" s="2">
        <f>CHOOSE(Inputs!$B$12,'S3_D1_Wholesaler'!P36,'S3_D2_Wholesaler'!P36,'S3_D3_Wholesaler'!P36)</f>
        <v/>
      </c>
      <c r="R39" s="2">
        <f>CHOOSE(Inputs!$B$12,'S3_D1_Wholesaler'!K36,'S3_D2_Wholesaler'!K36,'S3_D3_Wholesaler'!K36)</f>
        <v/>
      </c>
      <c r="S39" s="2">
        <f>CHOOSE(Inputs!$B$12,'S3_D1_Wholesaler'!L36,'S3_D2_Wholesaler'!L36,'S3_D3_Wholesaler'!L36)</f>
        <v/>
      </c>
      <c r="T39" s="2">
        <f>CHOOSE(Inputs!$B$12,'S3_D1_Wholesaler'!M36,'S3_D2_Wholesaler'!M36,'S3_D3_Wholesaler'!M36)</f>
        <v/>
      </c>
      <c r="U39" s="2">
        <f>CHOOSE(Inputs!$B$12,'S3_D1_Wholesaler'!N36,'S3_D2_Wholesaler'!N36,'S3_D3_Wholesaler'!N36)</f>
        <v/>
      </c>
      <c r="V39" s="2">
        <f>CHOOSE(Inputs!$B$12,'S3_D1_Distributor'!C36,'S3_D2_Distributor'!C36,'S3_D3_Distributor'!C36)</f>
        <v/>
      </c>
      <c r="W39" s="2">
        <f>CHOOSE(Inputs!$B$12,'S3_D1_Distributor'!D36,'S3_D2_Distributor'!D36,'S3_D3_Distributor'!D36)</f>
        <v/>
      </c>
      <c r="X39" s="2">
        <f>CHOOSE(Inputs!$B$12,'S3_D1_Distributor'!H36,'S3_D2_Distributor'!H36,'S3_D3_Distributor'!H36)</f>
        <v/>
      </c>
      <c r="Y39" s="2">
        <f>CHOOSE(Inputs!$B$12,'S3_D1_Distributor'!I36,'S3_D2_Distributor'!I36,'S3_D3_Distributor'!I36)</f>
        <v/>
      </c>
      <c r="Z39" s="2">
        <f>CHOOSE(Inputs!$B$12,'S3_D1_Distributor'!J36,'S3_D2_Distributor'!J36,'S3_D3_Distributor'!J36)</f>
        <v/>
      </c>
      <c r="AA39" s="2">
        <f>CHOOSE(Inputs!$B$12,'S3_D1_Distributor'!P36,'S3_D2_Distributor'!P36,'S3_D3_Distributor'!P36)</f>
        <v/>
      </c>
      <c r="AB39" s="2">
        <f>CHOOSE(Inputs!$B$12,'S3_D1_Distributor'!K36,'S3_D2_Distributor'!K36,'S3_D3_Distributor'!K36)</f>
        <v/>
      </c>
      <c r="AC39" s="2">
        <f>CHOOSE(Inputs!$B$12,'S3_D1_Distributor'!L36,'S3_D2_Distributor'!L36,'S3_D3_Distributor'!L36)</f>
        <v/>
      </c>
      <c r="AD39" s="2">
        <f>CHOOSE(Inputs!$B$12,'S3_D1_Distributor'!M36,'S3_D2_Distributor'!M36,'S3_D3_Distributor'!M36)</f>
        <v/>
      </c>
      <c r="AE39" s="2">
        <f>CHOOSE(Inputs!$B$12,'S3_D1_Distributor'!N36,'S3_D2_Distributor'!N36,'S3_D3_Distributor'!N36)</f>
        <v/>
      </c>
      <c r="AF39" s="2">
        <f>CHOOSE(Inputs!$B$12,'S3_D1_Factory'!C36,'S3_D2_Factory'!C36,'S3_D3_Factory'!C36)</f>
        <v/>
      </c>
      <c r="AG39" s="2">
        <f>CHOOSE(Inputs!$B$12,'S3_D1_Factory'!D36,'S3_D2_Factory'!D36,'S3_D3_Factory'!D36)</f>
        <v/>
      </c>
      <c r="AH39" s="2">
        <f>CHOOSE(Inputs!$B$12,'S3_D1_Factory'!H36,'S3_D2_Factory'!H36,'S3_D3_Factory'!H36)</f>
        <v/>
      </c>
      <c r="AI39" s="2">
        <f>CHOOSE(Inputs!$B$12,'S3_D1_Factory'!I36,'S3_D2_Factory'!I36,'S3_D3_Factory'!I36)</f>
        <v/>
      </c>
      <c r="AJ39" s="2">
        <f>CHOOSE(Inputs!$B$12,'S3_D1_Factory'!J36,'S3_D2_Factory'!J36,'S3_D3_Factory'!J36)</f>
        <v/>
      </c>
      <c r="AK39" s="2">
        <f>CHOOSE(Inputs!$B$12,'S3_D1_Factory'!P36,'S3_D2_Factory'!P36,'S3_D3_Factory'!P36)</f>
        <v/>
      </c>
      <c r="AL39" s="2">
        <f>CHOOSE(Inputs!$B$12,'S3_D1_Factory'!K36,'S3_D2_Factory'!K36,'S3_D3_Factory'!K36)</f>
        <v/>
      </c>
      <c r="AM39" s="2">
        <f>CHOOSE(Inputs!$B$12,'S3_D1_Factory'!L36,'S3_D2_Factory'!L36,'S3_D3_Factory'!L36)</f>
        <v/>
      </c>
      <c r="AN39" s="2">
        <f>CHOOSE(Inputs!$B$12,'S3_D1_Factory'!M36,'S3_D2_Factory'!M36,'S3_D3_Factory'!M36)</f>
        <v/>
      </c>
      <c r="AO39" s="2">
        <f>CHOOSE(Inputs!$B$12,'S3_D1_Factory'!N36,'S3_D2_Factory'!N36,'S3_D3_Factory'!N36)</f>
        <v/>
      </c>
      <c r="AP39" s="2">
        <f>SUM(H39,R39,AB39,AL39)</f>
        <v/>
      </c>
      <c r="AQ39" s="2">
        <f>SUM(I39,S39,AC39,AM39)</f>
        <v/>
      </c>
      <c r="AR39" s="2">
        <f>SUM(J39,T39,AD39,AN39)</f>
        <v/>
      </c>
      <c r="AS39" s="2">
        <f>AS38+AR39</f>
        <v/>
      </c>
    </row>
  </sheetData>
  <mergeCells count="6">
    <mergeCell ref="A3:A4"/>
    <mergeCell ref="AF3:AO3"/>
    <mergeCell ref="V3:AE3"/>
    <mergeCell ref="L3:U3"/>
    <mergeCell ref="AP3:AS3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2026-03-27T03:27:01Z</dcterms:created>
  <dcterms:modified xsi:type="dcterms:W3CDTF">2026-03-27T03:27:39Z</dcterms:modified>
</cp:coreProperties>
</file>