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Demand" sheetId="2" state="visible" r:id="rId2"/>
    <sheet name="Retailer" sheetId="3" state="visible" r:id="rId3"/>
    <sheet name="Wholesaler" sheetId="4" state="visible" r:id="rId4"/>
    <sheet name="Distributor" sheetId="5" state="visible" r:id="rId5"/>
    <sheet name="Factory" sheetId="6" state="visible" r:id="rId6"/>
    <sheet name="Summary" sheetId="7" state="visible" r:id="rId7"/>
    <sheet name="Simulation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3">
      <c r="A3" t="inlineStr">
        <is>
          <t>InvCost</t>
        </is>
      </c>
      <c r="B3" t="n">
        <v>0.25</v>
      </c>
    </row>
    <row r="4">
      <c r="A4" t="inlineStr">
        <is>
          <t>BackCost</t>
        </is>
      </c>
      <c r="B4" t="n">
        <v>1</v>
      </c>
    </row>
    <row r="5">
      <c r="A5" t="inlineStr">
        <is>
          <t>ExpectedDemand</t>
        </is>
      </c>
      <c r="B5" t="n">
        <v>100</v>
      </c>
    </row>
    <row r="6">
      <c r="A6" t="inlineStr">
        <is>
          <t>OrderDelay</t>
        </is>
      </c>
      <c r="B6" t="n">
        <v>2</v>
      </c>
    </row>
    <row r="7">
      <c r="A7" t="inlineStr">
        <is>
          <t>ShipDelay</t>
        </is>
      </c>
      <c r="B7" t="n">
        <v>2</v>
      </c>
    </row>
    <row r="8">
      <c r="A8" t="inlineStr">
        <is>
          <t>ProdDelay</t>
        </is>
      </c>
      <c r="B8" t="n">
        <v>2</v>
      </c>
    </row>
    <row r="10">
      <c r="A10" t="inlineStr">
        <is>
          <t>Mode</t>
        </is>
      </c>
      <c r="B10" t="inlineStr">
        <is>
          <t>Auto</t>
        </is>
      </c>
    </row>
    <row r="11">
      <c r="A11" t="inlineStr">
        <is>
          <t>ScenarioIndex</t>
        </is>
      </c>
      <c r="B11" t="n">
        <v>1</v>
      </c>
    </row>
    <row r="12">
      <c r="A12" t="inlineStr">
        <is>
          <t>DemandLevel (1=Low,2=Base,3=High)</t>
        </is>
      </c>
      <c r="B12" t="n">
        <v>2</v>
      </c>
    </row>
    <row r="13">
      <c r="A13" t="inlineStr">
        <is>
          <t>TargetWeeks_Retailer</t>
        </is>
      </c>
      <c r="B13">
        <f>INDEX($C$27:$F$29,$B$11,1)</f>
        <v/>
      </c>
    </row>
    <row r="14">
      <c r="A14" t="inlineStr">
        <is>
          <t>TargetWeeks_Wholesaler</t>
        </is>
      </c>
      <c r="B14">
        <f>INDEX($C$27:$F$29,$B$11,2)</f>
        <v/>
      </c>
    </row>
    <row r="15">
      <c r="A15" t="inlineStr">
        <is>
          <t>TargetWeeks_Distributor</t>
        </is>
      </c>
      <c r="B15">
        <f>INDEX($C$27:$F$29,$B$11,3)</f>
        <v/>
      </c>
    </row>
    <row r="16">
      <c r="A16" t="inlineStr">
        <is>
          <t>TargetWeeks_Factory</t>
        </is>
      </c>
      <c r="B16">
        <f>INDEX($C$27:$F$29,$B$11,4)</f>
        <v/>
      </c>
    </row>
    <row r="18">
      <c r="A18" t="inlineStr">
        <is>
          <t>InitialInventory</t>
        </is>
      </c>
      <c r="B18" t="n">
        <v>100</v>
      </c>
    </row>
    <row r="19">
      <c r="A19" t="inlineStr">
        <is>
          <t>InitialShipPipe1</t>
        </is>
      </c>
      <c r="B19" t="n">
        <v>50</v>
      </c>
    </row>
    <row r="20">
      <c r="A20" t="inlineStr">
        <is>
          <t>InitialShipPipe2</t>
        </is>
      </c>
      <c r="B20" t="n">
        <v>50</v>
      </c>
    </row>
    <row r="21">
      <c r="A21" t="inlineStr">
        <is>
          <t>InitialOrderPipe1</t>
        </is>
      </c>
      <c r="B21" t="n">
        <v>0</v>
      </c>
    </row>
    <row r="22">
      <c r="A22" t="inlineStr">
        <is>
          <t>InitialOrderPipe2</t>
        </is>
      </c>
      <c r="B22" t="n">
        <v>0</v>
      </c>
    </row>
    <row r="23">
      <c r="A23" t="inlineStr">
        <is>
          <t>DefaultOrderWeek1</t>
        </is>
      </c>
      <c r="B23" t="n">
        <v>100</v>
      </c>
    </row>
    <row r="24">
      <c r="A24" t="inlineStr">
        <is>
          <t>ScenarioName</t>
        </is>
      </c>
      <c r="B24">
        <f>INDEX($B$27:$B$29,$B$11)</f>
        <v/>
      </c>
    </row>
    <row r="25">
      <c r="A25" t="inlineStr">
        <is>
          <t>DemandLevelName</t>
        </is>
      </c>
      <c r="B25">
        <f>CHOOSE($B$12,"Low","Base","High")</f>
        <v/>
      </c>
    </row>
    <row r="26">
      <c r="A26" t="inlineStr">
        <is>
          <t>ScenarioIndex</t>
        </is>
      </c>
      <c r="B26" t="inlineStr">
        <is>
          <t>ScenarioName</t>
        </is>
      </c>
      <c r="C26" t="inlineStr">
        <is>
          <t>TargetWeeks_Retailer</t>
        </is>
      </c>
      <c r="D26" t="inlineStr">
        <is>
          <t>TargetWeeks_Wholesaler</t>
        </is>
      </c>
      <c r="E26" t="inlineStr">
        <is>
          <t>TargetWeeks_Distributor</t>
        </is>
      </c>
      <c r="F26" t="inlineStr">
        <is>
          <t>TargetWeeks_Factory</t>
        </is>
      </c>
      <c r="G26" t="inlineStr">
        <is>
          <t>Notes</t>
        </is>
      </c>
    </row>
    <row r="27">
      <c r="A27" t="n">
        <v>1</v>
      </c>
      <c r="B27" t="inlineStr">
        <is>
          <t>Simulation - Scenario 1 - HighInv</t>
        </is>
      </c>
      <c r="C27" t="n">
        <v>6</v>
      </c>
      <c r="D27" t="n">
        <v>6</v>
      </c>
      <c r="E27" t="n">
        <v>6</v>
      </c>
      <c r="F27" t="n">
        <v>6</v>
      </c>
      <c r="G27" t="inlineStr">
        <is>
          <t>High inventory, lowest risk of backlog</t>
        </is>
      </c>
    </row>
    <row r="28">
      <c r="A28" t="n">
        <v>2</v>
      </c>
      <c r="B28" t="inlineStr">
        <is>
          <t>Simulation - Scenario 2 - Balanced</t>
        </is>
      </c>
      <c r="C28" t="n">
        <v>3</v>
      </c>
      <c r="D28" t="n">
        <v>3</v>
      </c>
      <c r="E28" t="n">
        <v>3</v>
      </c>
      <c r="F28" t="n">
        <v>3</v>
      </c>
      <c r="G28" t="inlineStr">
        <is>
          <t>Balanced inventory and backlog tradeoff</t>
        </is>
      </c>
    </row>
    <row r="29">
      <c r="A29" t="n">
        <v>3</v>
      </c>
      <c r="B29" t="inlineStr">
        <is>
          <t>Simulation - Scenario 3 - MinCost</t>
        </is>
      </c>
      <c r="C29" t="n">
        <v>2</v>
      </c>
      <c r="D29" t="n">
        <v>3</v>
      </c>
      <c r="E29" t="n">
        <v>2</v>
      </c>
      <c r="F29" t="n">
        <v>1</v>
      </c>
      <c r="G29" t="inlineStr">
        <is>
          <t>Cost-focused baseline policy (editable)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BaseFluctAvg100</t>
        </is>
      </c>
      <c r="C1" t="inlineStr">
        <is>
          <t>LowDemand</t>
        </is>
      </c>
      <c r="D1" t="inlineStr">
        <is>
          <t>HighDemand</t>
        </is>
      </c>
      <c r="E1" t="inlineStr">
        <is>
          <t>ActiveDemand</t>
        </is>
      </c>
    </row>
    <row r="2">
      <c r="A2" t="n">
        <v>1</v>
      </c>
      <c r="B2" t="n">
        <v>80</v>
      </c>
      <c r="C2" t="n">
        <v>64</v>
      </c>
      <c r="D2" t="n">
        <v>96</v>
      </c>
      <c r="E2">
        <f>CHOOSE(Inputs!$B$12, C2, B2, D2)</f>
        <v/>
      </c>
    </row>
    <row r="3">
      <c r="A3" t="n">
        <v>2</v>
      </c>
      <c r="B3" t="n">
        <v>120</v>
      </c>
      <c r="C3" t="n">
        <v>96</v>
      </c>
      <c r="D3" t="n">
        <v>144</v>
      </c>
      <c r="E3">
        <f>CHOOSE(Inputs!$B$12, C3, B3, D3)</f>
        <v/>
      </c>
    </row>
    <row r="4">
      <c r="A4" t="n">
        <v>3</v>
      </c>
      <c r="B4" t="n">
        <v>95</v>
      </c>
      <c r="C4" t="n">
        <v>76</v>
      </c>
      <c r="D4" t="n">
        <v>114</v>
      </c>
      <c r="E4">
        <f>CHOOSE(Inputs!$B$12, C4, B4, D4)</f>
        <v/>
      </c>
    </row>
    <row r="5">
      <c r="A5" t="n">
        <v>4</v>
      </c>
      <c r="B5" t="n">
        <v>110</v>
      </c>
      <c r="C5" t="n">
        <v>88</v>
      </c>
      <c r="D5" t="n">
        <v>132</v>
      </c>
      <c r="E5">
        <f>CHOOSE(Inputs!$B$12, C5, B5, D5)</f>
        <v/>
      </c>
    </row>
    <row r="6">
      <c r="A6" t="n">
        <v>5</v>
      </c>
      <c r="B6" t="n">
        <v>90</v>
      </c>
      <c r="C6" t="n">
        <v>72</v>
      </c>
      <c r="D6" t="n">
        <v>108</v>
      </c>
      <c r="E6">
        <f>CHOOSE(Inputs!$B$12, C6, B6, D6)</f>
        <v/>
      </c>
    </row>
    <row r="7">
      <c r="A7" t="n">
        <v>6</v>
      </c>
      <c r="B7" t="n">
        <v>130</v>
      </c>
      <c r="C7" t="n">
        <v>104</v>
      </c>
      <c r="D7" t="n">
        <v>156</v>
      </c>
      <c r="E7">
        <f>CHOOSE(Inputs!$B$12, C7, B7, D7)</f>
        <v/>
      </c>
    </row>
    <row r="8">
      <c r="A8" t="n">
        <v>7</v>
      </c>
      <c r="B8" t="n">
        <v>85</v>
      </c>
      <c r="C8" t="n">
        <v>68</v>
      </c>
      <c r="D8" t="n">
        <v>102</v>
      </c>
      <c r="E8">
        <f>CHOOSE(Inputs!$B$12, C8, B8, D8)</f>
        <v/>
      </c>
    </row>
    <row r="9">
      <c r="A9" t="n">
        <v>8</v>
      </c>
      <c r="B9" t="n">
        <v>115</v>
      </c>
      <c r="C9" t="n">
        <v>92</v>
      </c>
      <c r="D9" t="n">
        <v>138</v>
      </c>
      <c r="E9">
        <f>CHOOSE(Inputs!$B$12, C9, B9, D9)</f>
        <v/>
      </c>
    </row>
    <row r="10">
      <c r="A10" t="n">
        <v>9</v>
      </c>
      <c r="B10" t="n">
        <v>100</v>
      </c>
      <c r="C10" t="n">
        <v>80</v>
      </c>
      <c r="D10" t="n">
        <v>120</v>
      </c>
      <c r="E10">
        <f>CHOOSE(Inputs!$B$12, C10, B10, D10)</f>
        <v/>
      </c>
    </row>
    <row r="11">
      <c r="A11" t="n">
        <v>10</v>
      </c>
      <c r="B11" t="n">
        <v>105</v>
      </c>
      <c r="C11" t="n">
        <v>84</v>
      </c>
      <c r="D11" t="n">
        <v>126</v>
      </c>
      <c r="E11">
        <f>CHOOSE(Inputs!$B$12, C11, B11, D11)</f>
        <v/>
      </c>
    </row>
    <row r="12">
      <c r="A12" t="n">
        <v>11</v>
      </c>
      <c r="B12" t="n">
        <v>75</v>
      </c>
      <c r="C12" t="n">
        <v>60</v>
      </c>
      <c r="D12" t="n">
        <v>90</v>
      </c>
      <c r="E12">
        <f>CHOOSE(Inputs!$B$12, C12, B12, D12)</f>
        <v/>
      </c>
    </row>
    <row r="13">
      <c r="A13" t="n">
        <v>12</v>
      </c>
      <c r="B13" t="n">
        <v>125</v>
      </c>
      <c r="C13" t="n">
        <v>100</v>
      </c>
      <c r="D13" t="n">
        <v>150</v>
      </c>
      <c r="E13">
        <f>CHOOSE(Inputs!$B$12, C13, B13, D13)</f>
        <v/>
      </c>
    </row>
    <row r="14">
      <c r="A14" t="n">
        <v>13</v>
      </c>
      <c r="B14" t="n">
        <v>98</v>
      </c>
      <c r="C14" t="n">
        <v>78</v>
      </c>
      <c r="D14" t="n">
        <v>118</v>
      </c>
      <c r="E14">
        <f>CHOOSE(Inputs!$B$12, C14, B14, D14)</f>
        <v/>
      </c>
    </row>
    <row r="15">
      <c r="A15" t="n">
        <v>14</v>
      </c>
      <c r="B15" t="n">
        <v>102</v>
      </c>
      <c r="C15" t="n">
        <v>82</v>
      </c>
      <c r="D15" t="n">
        <v>122</v>
      </c>
      <c r="E15">
        <f>CHOOSE(Inputs!$B$12, C15, B15, D15)</f>
        <v/>
      </c>
    </row>
    <row r="16">
      <c r="A16" t="n">
        <v>15</v>
      </c>
      <c r="B16" t="n">
        <v>88</v>
      </c>
      <c r="C16" t="n">
        <v>70</v>
      </c>
      <c r="D16" t="n">
        <v>106</v>
      </c>
      <c r="E16">
        <f>CHOOSE(Inputs!$B$12, C16, B16, D16)</f>
        <v/>
      </c>
    </row>
    <row r="17">
      <c r="A17" t="n">
        <v>16</v>
      </c>
      <c r="B17" t="n">
        <v>112</v>
      </c>
      <c r="C17" t="n">
        <v>90</v>
      </c>
      <c r="D17" t="n">
        <v>134</v>
      </c>
      <c r="E17">
        <f>CHOOSE(Inputs!$B$12, C17, B17, D17)</f>
        <v/>
      </c>
    </row>
    <row r="18">
      <c r="A18" t="n">
        <v>17</v>
      </c>
      <c r="B18" t="n">
        <v>92</v>
      </c>
      <c r="C18" t="n">
        <v>74</v>
      </c>
      <c r="D18" t="n">
        <v>110</v>
      </c>
      <c r="E18">
        <f>CHOOSE(Inputs!$B$12, C18, B18, D18)</f>
        <v/>
      </c>
    </row>
    <row r="19">
      <c r="A19" t="n">
        <v>18</v>
      </c>
      <c r="B19" t="n">
        <v>108</v>
      </c>
      <c r="C19" t="n">
        <v>86</v>
      </c>
      <c r="D19" t="n">
        <v>130</v>
      </c>
      <c r="E19">
        <f>CHOOSE(Inputs!$B$12, C19, B19, D19)</f>
        <v/>
      </c>
    </row>
    <row r="20">
      <c r="A20" t="n">
        <v>19</v>
      </c>
      <c r="B20" t="n">
        <v>70</v>
      </c>
      <c r="C20" t="n">
        <v>56</v>
      </c>
      <c r="D20" t="n">
        <v>84</v>
      </c>
      <c r="E20">
        <f>CHOOSE(Inputs!$B$12, C20, B20, D20)</f>
        <v/>
      </c>
    </row>
    <row r="21">
      <c r="A21" t="n">
        <v>20</v>
      </c>
      <c r="B21" t="n">
        <v>140</v>
      </c>
      <c r="C21" t="n">
        <v>112</v>
      </c>
      <c r="D21" t="n">
        <v>168</v>
      </c>
      <c r="E21">
        <f>CHOOSE(Inputs!$B$12, C21, B21, D21)</f>
        <v/>
      </c>
    </row>
    <row r="22">
      <c r="A22" t="n">
        <v>21</v>
      </c>
      <c r="B22" t="n">
        <v>96</v>
      </c>
      <c r="C22" t="n">
        <v>77</v>
      </c>
      <c r="D22" t="n">
        <v>115</v>
      </c>
      <c r="E22">
        <f>CHOOSE(Inputs!$B$12, C22, B22, D22)</f>
        <v/>
      </c>
    </row>
    <row r="23">
      <c r="A23" t="n">
        <v>22</v>
      </c>
      <c r="B23" t="n">
        <v>104</v>
      </c>
      <c r="C23" t="n">
        <v>83</v>
      </c>
      <c r="D23" t="n">
        <v>125</v>
      </c>
      <c r="E23">
        <f>CHOOSE(Inputs!$B$12, C23, B23, D23)</f>
        <v/>
      </c>
    </row>
    <row r="24">
      <c r="A24" t="n">
        <v>23</v>
      </c>
      <c r="B24" t="n">
        <v>86</v>
      </c>
      <c r="C24" t="n">
        <v>69</v>
      </c>
      <c r="D24" t="n">
        <v>103</v>
      </c>
      <c r="E24">
        <f>CHOOSE(Inputs!$B$12, C24, B24, D24)</f>
        <v/>
      </c>
    </row>
    <row r="25">
      <c r="A25" t="n">
        <v>24</v>
      </c>
      <c r="B25" t="n">
        <v>114</v>
      </c>
      <c r="C25" t="n">
        <v>91</v>
      </c>
      <c r="D25" t="n">
        <v>137</v>
      </c>
      <c r="E25">
        <f>CHOOSE(Inputs!$B$12, C25, B25, D25)</f>
        <v/>
      </c>
    </row>
    <row r="26">
      <c r="A26" t="n">
        <v>25</v>
      </c>
      <c r="B26" t="n">
        <v>94</v>
      </c>
      <c r="C26" t="n">
        <v>75</v>
      </c>
      <c r="D26" t="n">
        <v>113</v>
      </c>
      <c r="E26">
        <f>CHOOSE(Inputs!$B$12, C26, B26, D26)</f>
        <v/>
      </c>
    </row>
    <row r="27">
      <c r="A27" t="n">
        <v>26</v>
      </c>
      <c r="B27" t="n">
        <v>106</v>
      </c>
      <c r="C27" t="n">
        <v>85</v>
      </c>
      <c r="D27" t="n">
        <v>127</v>
      </c>
      <c r="E27">
        <f>CHOOSE(Inputs!$B$12, C27, B27, D27)</f>
        <v/>
      </c>
    </row>
    <row r="28">
      <c r="A28" t="n">
        <v>27</v>
      </c>
      <c r="B28" t="n">
        <v>82</v>
      </c>
      <c r="C28" t="n">
        <v>66</v>
      </c>
      <c r="D28" t="n">
        <v>98</v>
      </c>
      <c r="E28">
        <f>CHOOSE(Inputs!$B$12, C28, B28, D28)</f>
        <v/>
      </c>
    </row>
    <row r="29">
      <c r="A29" t="n">
        <v>28</v>
      </c>
      <c r="B29" t="n">
        <v>118</v>
      </c>
      <c r="C29" t="n">
        <v>94</v>
      </c>
      <c r="D29" t="n">
        <v>142</v>
      </c>
      <c r="E29">
        <f>CHOOSE(Inputs!$B$12, C29, B29, D29)</f>
        <v/>
      </c>
    </row>
    <row r="30">
      <c r="A30" t="n">
        <v>29</v>
      </c>
      <c r="B30" t="n">
        <v>97</v>
      </c>
      <c r="C30" t="n">
        <v>78</v>
      </c>
      <c r="D30" t="n">
        <v>116</v>
      </c>
      <c r="E30">
        <f>CHOOSE(Inputs!$B$12, C30, B30, D30)</f>
        <v/>
      </c>
    </row>
    <row r="31">
      <c r="A31" t="n">
        <v>30</v>
      </c>
      <c r="B31" t="n">
        <v>103</v>
      </c>
      <c r="C31" t="n">
        <v>82</v>
      </c>
      <c r="D31" t="n">
        <v>124</v>
      </c>
      <c r="E31">
        <f>CHOOSE(Inputs!$B$12, C31, B31, D31)</f>
        <v/>
      </c>
    </row>
    <row r="32">
      <c r="A32" t="n">
        <v>31</v>
      </c>
      <c r="B32" t="n">
        <v>89</v>
      </c>
      <c r="C32" t="n">
        <v>71</v>
      </c>
      <c r="D32" t="n">
        <v>107</v>
      </c>
      <c r="E32">
        <f>CHOOSE(Inputs!$B$12, C32, B32, D32)</f>
        <v/>
      </c>
    </row>
    <row r="33">
      <c r="A33" t="n">
        <v>32</v>
      </c>
      <c r="B33" t="n">
        <v>111</v>
      </c>
      <c r="C33" t="n">
        <v>89</v>
      </c>
      <c r="D33" t="n">
        <v>133</v>
      </c>
      <c r="E33">
        <f>CHOOSE(Inputs!$B$12, C33, B33, D33)</f>
        <v/>
      </c>
    </row>
    <row r="34">
      <c r="A34" t="n">
        <v>33</v>
      </c>
      <c r="B34" t="n">
        <v>93</v>
      </c>
      <c r="C34" t="n">
        <v>74</v>
      </c>
      <c r="D34" t="n">
        <v>112</v>
      </c>
      <c r="E34">
        <f>CHOOSE(Inputs!$B$12, C34, B34, D34)</f>
        <v/>
      </c>
    </row>
    <row r="35">
      <c r="A35" t="n">
        <v>34</v>
      </c>
      <c r="B35" t="n">
        <v>107</v>
      </c>
      <c r="C35" t="n">
        <v>86</v>
      </c>
      <c r="D35" t="n">
        <v>128</v>
      </c>
      <c r="E35">
        <f>CHOOSE(Inputs!$B$12, C35, B35, D35)</f>
        <v/>
      </c>
    </row>
    <row r="36">
      <c r="A36" t="n">
        <v>35</v>
      </c>
      <c r="B36" t="n">
        <v>60</v>
      </c>
      <c r="C36" t="n">
        <v>48</v>
      </c>
      <c r="D36" t="n">
        <v>72</v>
      </c>
      <c r="E36">
        <f>CHOOSE(Inputs!$B$12, C36, B36, D36)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B2">
        <f>Demand!$E2</f>
        <v/>
      </c>
      <c r="C2">
        <f>B2</f>
        <v/>
      </c>
      <c r="D2">
        <f>S2</f>
        <v/>
      </c>
      <c r="E2">
        <f>Inputs!$B$18</f>
        <v/>
      </c>
      <c r="F2" t="n">
        <v>0</v>
      </c>
      <c r="G2">
        <f>F2+C2</f>
        <v/>
      </c>
      <c r="H2">
        <f>MIN(E2+D2, G2)</f>
        <v/>
      </c>
      <c r="I2">
        <f>E2+D2-H2</f>
        <v/>
      </c>
      <c r="J2">
        <f>G2-H2</f>
        <v/>
      </c>
      <c r="K2">
        <f>I2*Inputs!$B$3</f>
        <v/>
      </c>
      <c r="L2">
        <f>J2*Inputs!$B$4</f>
        <v/>
      </c>
      <c r="M2">
        <f>K2+L2</f>
        <v/>
      </c>
      <c r="N2">
        <f>M2</f>
        <v/>
      </c>
      <c r="P2">
        <f>IF(Inputs!$B$10="Manual", IF(O2="", Inputs!$B$23, O2), W2)</f>
        <v/>
      </c>
      <c r="Q2">
        <f>Inputs!$B$21</f>
        <v/>
      </c>
      <c r="R2">
        <f>Inputs!$B$22</f>
        <v/>
      </c>
      <c r="S2">
        <f>Inputs!$B$19</f>
        <v/>
      </c>
      <c r="T2">
        <f>Inputs!$B$20</f>
        <v/>
      </c>
      <c r="U2">
        <f>E2+S2+T2-F2</f>
        <v/>
      </c>
      <c r="V2">
        <f>Inputs!$B$5*Inputs!$B$13</f>
        <v/>
      </c>
      <c r="W2">
        <f>MAX(0, V2-U2)</f>
        <v/>
      </c>
    </row>
    <row r="3">
      <c r="A3" t="n">
        <v>2</v>
      </c>
      <c r="B3">
        <f>Demand!$E3</f>
        <v/>
      </c>
      <c r="C3">
        <f>B3</f>
        <v/>
      </c>
      <c r="D3">
        <f>S3</f>
        <v/>
      </c>
      <c r="E3">
        <f>I2</f>
        <v/>
      </c>
      <c r="F3">
        <f>J2</f>
        <v/>
      </c>
      <c r="G3">
        <f>F3+C3</f>
        <v/>
      </c>
      <c r="H3">
        <f>MIN(E3+D3, G3)</f>
        <v/>
      </c>
      <c r="I3">
        <f>E3+D3-H3</f>
        <v/>
      </c>
      <c r="J3">
        <f>G3-H3</f>
        <v/>
      </c>
      <c r="K3">
        <f>I3*Inputs!$B$3</f>
        <v/>
      </c>
      <c r="L3">
        <f>J3*Inputs!$B$4</f>
        <v/>
      </c>
      <c r="M3">
        <f>K3+L3</f>
        <v/>
      </c>
      <c r="N3">
        <f>N2+M3</f>
        <v/>
      </c>
      <c r="P3">
        <f>IF(Inputs!$B$10="Manual", IF(O3="", P2, O3), W3)</f>
        <v/>
      </c>
      <c r="Q3">
        <f>R2</f>
        <v/>
      </c>
      <c r="R3">
        <f>P2</f>
        <v/>
      </c>
      <c r="S3">
        <f>T2</f>
        <v/>
      </c>
      <c r="T3">
        <f>'Wholesaler'!H2</f>
        <v/>
      </c>
      <c r="U3">
        <f>E3+S3+T3-F3</f>
        <v/>
      </c>
      <c r="V3">
        <f>Inputs!$B$5*Inputs!$B$13</f>
        <v/>
      </c>
      <c r="W3">
        <f>MAX(0, V3-U3)</f>
        <v/>
      </c>
    </row>
    <row r="4">
      <c r="A4" t="n">
        <v>3</v>
      </c>
      <c r="B4">
        <f>Demand!$E4</f>
        <v/>
      </c>
      <c r="C4">
        <f>B4</f>
        <v/>
      </c>
      <c r="D4">
        <f>S4</f>
        <v/>
      </c>
      <c r="E4">
        <f>I3</f>
        <v/>
      </c>
      <c r="F4">
        <f>J3</f>
        <v/>
      </c>
      <c r="G4">
        <f>F4+C4</f>
        <v/>
      </c>
      <c r="H4">
        <f>MIN(E4+D4, G4)</f>
        <v/>
      </c>
      <c r="I4">
        <f>E4+D4-H4</f>
        <v/>
      </c>
      <c r="J4">
        <f>G4-H4</f>
        <v/>
      </c>
      <c r="K4">
        <f>I4*Inputs!$B$3</f>
        <v/>
      </c>
      <c r="L4">
        <f>J4*Inputs!$B$4</f>
        <v/>
      </c>
      <c r="M4">
        <f>K4+L4</f>
        <v/>
      </c>
      <c r="N4">
        <f>N3+M4</f>
        <v/>
      </c>
      <c r="P4">
        <f>IF(Inputs!$B$10="Manual", IF(O4="", P3, O4), W4)</f>
        <v/>
      </c>
      <c r="Q4">
        <f>R3</f>
        <v/>
      </c>
      <c r="R4">
        <f>P3</f>
        <v/>
      </c>
      <c r="S4">
        <f>T3</f>
        <v/>
      </c>
      <c r="T4">
        <f>'Wholesaler'!H3</f>
        <v/>
      </c>
      <c r="U4">
        <f>E4+S4+T4-F4</f>
        <v/>
      </c>
      <c r="V4">
        <f>Inputs!$B$5*Inputs!$B$13</f>
        <v/>
      </c>
      <c r="W4">
        <f>MAX(0, V4-U4)</f>
        <v/>
      </c>
    </row>
    <row r="5">
      <c r="A5" t="n">
        <v>4</v>
      </c>
      <c r="B5">
        <f>Demand!$E5</f>
        <v/>
      </c>
      <c r="C5">
        <f>B5</f>
        <v/>
      </c>
      <c r="D5">
        <f>S5</f>
        <v/>
      </c>
      <c r="E5">
        <f>I4</f>
        <v/>
      </c>
      <c r="F5">
        <f>J4</f>
        <v/>
      </c>
      <c r="G5">
        <f>F5+C5</f>
        <v/>
      </c>
      <c r="H5">
        <f>MIN(E5+D5, G5)</f>
        <v/>
      </c>
      <c r="I5">
        <f>E5+D5-H5</f>
        <v/>
      </c>
      <c r="J5">
        <f>G5-H5</f>
        <v/>
      </c>
      <c r="K5">
        <f>I5*Inputs!$B$3</f>
        <v/>
      </c>
      <c r="L5">
        <f>J5*Inputs!$B$4</f>
        <v/>
      </c>
      <c r="M5">
        <f>K5+L5</f>
        <v/>
      </c>
      <c r="N5">
        <f>N4+M5</f>
        <v/>
      </c>
      <c r="P5">
        <f>IF(Inputs!$B$10="Manual", IF(O5="", P4, O5), W5)</f>
        <v/>
      </c>
      <c r="Q5">
        <f>R4</f>
        <v/>
      </c>
      <c r="R5">
        <f>P4</f>
        <v/>
      </c>
      <c r="S5">
        <f>T4</f>
        <v/>
      </c>
      <c r="T5">
        <f>'Wholesaler'!H4</f>
        <v/>
      </c>
      <c r="U5">
        <f>E5+S5+T5-F5</f>
        <v/>
      </c>
      <c r="V5">
        <f>Inputs!$B$5*Inputs!$B$13</f>
        <v/>
      </c>
      <c r="W5">
        <f>MAX(0, V5-U5)</f>
        <v/>
      </c>
    </row>
    <row r="6">
      <c r="A6" t="n">
        <v>5</v>
      </c>
      <c r="B6">
        <f>Demand!$E6</f>
        <v/>
      </c>
      <c r="C6">
        <f>B6</f>
        <v/>
      </c>
      <c r="D6">
        <f>S6</f>
        <v/>
      </c>
      <c r="E6">
        <f>I5</f>
        <v/>
      </c>
      <c r="F6">
        <f>J5</f>
        <v/>
      </c>
      <c r="G6">
        <f>F6+C6</f>
        <v/>
      </c>
      <c r="H6">
        <f>MIN(E6+D6, G6)</f>
        <v/>
      </c>
      <c r="I6">
        <f>E6+D6-H6</f>
        <v/>
      </c>
      <c r="J6">
        <f>G6-H6</f>
        <v/>
      </c>
      <c r="K6">
        <f>I6*Inputs!$B$3</f>
        <v/>
      </c>
      <c r="L6">
        <f>J6*Inputs!$B$4</f>
        <v/>
      </c>
      <c r="M6">
        <f>K6+L6</f>
        <v/>
      </c>
      <c r="N6">
        <f>N5+M6</f>
        <v/>
      </c>
      <c r="P6">
        <f>IF(Inputs!$B$10="Manual", IF(O6="", P5, O6), W6)</f>
        <v/>
      </c>
      <c r="Q6">
        <f>R5</f>
        <v/>
      </c>
      <c r="R6">
        <f>P5</f>
        <v/>
      </c>
      <c r="S6">
        <f>T5</f>
        <v/>
      </c>
      <c r="T6">
        <f>'Wholesaler'!H5</f>
        <v/>
      </c>
      <c r="U6">
        <f>E6+S6+T6-F6</f>
        <v/>
      </c>
      <c r="V6">
        <f>Inputs!$B$5*Inputs!$B$13</f>
        <v/>
      </c>
      <c r="W6">
        <f>MAX(0, V6-U6)</f>
        <v/>
      </c>
    </row>
    <row r="7">
      <c r="A7" t="n">
        <v>6</v>
      </c>
      <c r="B7">
        <f>Demand!$E7</f>
        <v/>
      </c>
      <c r="C7">
        <f>B7</f>
        <v/>
      </c>
      <c r="D7">
        <f>S7</f>
        <v/>
      </c>
      <c r="E7">
        <f>I6</f>
        <v/>
      </c>
      <c r="F7">
        <f>J6</f>
        <v/>
      </c>
      <c r="G7">
        <f>F7+C7</f>
        <v/>
      </c>
      <c r="H7">
        <f>MIN(E7+D7, G7)</f>
        <v/>
      </c>
      <c r="I7">
        <f>E7+D7-H7</f>
        <v/>
      </c>
      <c r="J7">
        <f>G7-H7</f>
        <v/>
      </c>
      <c r="K7">
        <f>I7*Inputs!$B$3</f>
        <v/>
      </c>
      <c r="L7">
        <f>J7*Inputs!$B$4</f>
        <v/>
      </c>
      <c r="M7">
        <f>K7+L7</f>
        <v/>
      </c>
      <c r="N7">
        <f>N6+M7</f>
        <v/>
      </c>
      <c r="P7">
        <f>IF(Inputs!$B$10="Manual", IF(O7="", P6, O7), W7)</f>
        <v/>
      </c>
      <c r="Q7">
        <f>R6</f>
        <v/>
      </c>
      <c r="R7">
        <f>P6</f>
        <v/>
      </c>
      <c r="S7">
        <f>T6</f>
        <v/>
      </c>
      <c r="T7">
        <f>'Wholesaler'!H6</f>
        <v/>
      </c>
      <c r="U7">
        <f>E7+S7+T7-F7</f>
        <v/>
      </c>
      <c r="V7">
        <f>Inputs!$B$5*Inputs!$B$13</f>
        <v/>
      </c>
      <c r="W7">
        <f>MAX(0, V7-U7)</f>
        <v/>
      </c>
    </row>
    <row r="8">
      <c r="A8" t="n">
        <v>7</v>
      </c>
      <c r="B8">
        <f>Demand!$E8</f>
        <v/>
      </c>
      <c r="C8">
        <f>B8</f>
        <v/>
      </c>
      <c r="D8">
        <f>S8</f>
        <v/>
      </c>
      <c r="E8">
        <f>I7</f>
        <v/>
      </c>
      <c r="F8">
        <f>J7</f>
        <v/>
      </c>
      <c r="G8">
        <f>F8+C8</f>
        <v/>
      </c>
      <c r="H8">
        <f>MIN(E8+D8, G8)</f>
        <v/>
      </c>
      <c r="I8">
        <f>E8+D8-H8</f>
        <v/>
      </c>
      <c r="J8">
        <f>G8-H8</f>
        <v/>
      </c>
      <c r="K8">
        <f>I8*Inputs!$B$3</f>
        <v/>
      </c>
      <c r="L8">
        <f>J8*Inputs!$B$4</f>
        <v/>
      </c>
      <c r="M8">
        <f>K8+L8</f>
        <v/>
      </c>
      <c r="N8">
        <f>N7+M8</f>
        <v/>
      </c>
      <c r="P8">
        <f>IF(Inputs!$B$10="Manual", IF(O8="", P7, O8), W8)</f>
        <v/>
      </c>
      <c r="Q8">
        <f>R7</f>
        <v/>
      </c>
      <c r="R8">
        <f>P7</f>
        <v/>
      </c>
      <c r="S8">
        <f>T7</f>
        <v/>
      </c>
      <c r="T8">
        <f>'Wholesaler'!H7</f>
        <v/>
      </c>
      <c r="U8">
        <f>E8+S8+T8-F8</f>
        <v/>
      </c>
      <c r="V8">
        <f>Inputs!$B$5*Inputs!$B$13</f>
        <v/>
      </c>
      <c r="W8">
        <f>MAX(0, V8-U8)</f>
        <v/>
      </c>
    </row>
    <row r="9">
      <c r="A9" t="n">
        <v>8</v>
      </c>
      <c r="B9">
        <f>Demand!$E9</f>
        <v/>
      </c>
      <c r="C9">
        <f>B9</f>
        <v/>
      </c>
      <c r="D9">
        <f>S9</f>
        <v/>
      </c>
      <c r="E9">
        <f>I8</f>
        <v/>
      </c>
      <c r="F9">
        <f>J8</f>
        <v/>
      </c>
      <c r="G9">
        <f>F9+C9</f>
        <v/>
      </c>
      <c r="H9">
        <f>MIN(E9+D9, G9)</f>
        <v/>
      </c>
      <c r="I9">
        <f>E9+D9-H9</f>
        <v/>
      </c>
      <c r="J9">
        <f>G9-H9</f>
        <v/>
      </c>
      <c r="K9">
        <f>I9*Inputs!$B$3</f>
        <v/>
      </c>
      <c r="L9">
        <f>J9*Inputs!$B$4</f>
        <v/>
      </c>
      <c r="M9">
        <f>K9+L9</f>
        <v/>
      </c>
      <c r="N9">
        <f>N8+M9</f>
        <v/>
      </c>
      <c r="P9">
        <f>IF(Inputs!$B$10="Manual", IF(O9="", P8, O9), W9)</f>
        <v/>
      </c>
      <c r="Q9">
        <f>R8</f>
        <v/>
      </c>
      <c r="R9">
        <f>P8</f>
        <v/>
      </c>
      <c r="S9">
        <f>T8</f>
        <v/>
      </c>
      <c r="T9">
        <f>'Wholesaler'!H8</f>
        <v/>
      </c>
      <c r="U9">
        <f>E9+S9+T9-F9</f>
        <v/>
      </c>
      <c r="V9">
        <f>Inputs!$B$5*Inputs!$B$13</f>
        <v/>
      </c>
      <c r="W9">
        <f>MAX(0, V9-U9)</f>
        <v/>
      </c>
    </row>
    <row r="10">
      <c r="A10" t="n">
        <v>9</v>
      </c>
      <c r="B10">
        <f>Demand!$E10</f>
        <v/>
      </c>
      <c r="C10">
        <f>B10</f>
        <v/>
      </c>
      <c r="D10">
        <f>S10</f>
        <v/>
      </c>
      <c r="E10">
        <f>I9</f>
        <v/>
      </c>
      <c r="F10">
        <f>J9</f>
        <v/>
      </c>
      <c r="G10">
        <f>F10+C10</f>
        <v/>
      </c>
      <c r="H10">
        <f>MIN(E10+D10, G10)</f>
        <v/>
      </c>
      <c r="I10">
        <f>E10+D10-H10</f>
        <v/>
      </c>
      <c r="J10">
        <f>G10-H10</f>
        <v/>
      </c>
      <c r="K10">
        <f>I10*Inputs!$B$3</f>
        <v/>
      </c>
      <c r="L10">
        <f>J10*Inputs!$B$4</f>
        <v/>
      </c>
      <c r="M10">
        <f>K10+L10</f>
        <v/>
      </c>
      <c r="N10">
        <f>N9+M10</f>
        <v/>
      </c>
      <c r="P10">
        <f>IF(Inputs!$B$10="Manual", IF(O10="", P9, O10), W10)</f>
        <v/>
      </c>
      <c r="Q10">
        <f>R9</f>
        <v/>
      </c>
      <c r="R10">
        <f>P9</f>
        <v/>
      </c>
      <c r="S10">
        <f>T9</f>
        <v/>
      </c>
      <c r="T10">
        <f>'Wholesaler'!H9</f>
        <v/>
      </c>
      <c r="U10">
        <f>E10+S10+T10-F10</f>
        <v/>
      </c>
      <c r="V10">
        <f>Inputs!$B$5*Inputs!$B$13</f>
        <v/>
      </c>
      <c r="W10">
        <f>MAX(0, V10-U10)</f>
        <v/>
      </c>
    </row>
    <row r="11">
      <c r="A11" t="n">
        <v>10</v>
      </c>
      <c r="B11">
        <f>Demand!$E11</f>
        <v/>
      </c>
      <c r="C11">
        <f>B11</f>
        <v/>
      </c>
      <c r="D11">
        <f>S11</f>
        <v/>
      </c>
      <c r="E11">
        <f>I10</f>
        <v/>
      </c>
      <c r="F11">
        <f>J10</f>
        <v/>
      </c>
      <c r="G11">
        <f>F11+C11</f>
        <v/>
      </c>
      <c r="H11">
        <f>MIN(E11+D11, G11)</f>
        <v/>
      </c>
      <c r="I11">
        <f>E11+D11-H11</f>
        <v/>
      </c>
      <c r="J11">
        <f>G11-H11</f>
        <v/>
      </c>
      <c r="K11">
        <f>I11*Inputs!$B$3</f>
        <v/>
      </c>
      <c r="L11">
        <f>J11*Inputs!$B$4</f>
        <v/>
      </c>
      <c r="M11">
        <f>K11+L11</f>
        <v/>
      </c>
      <c r="N11">
        <f>N10+M11</f>
        <v/>
      </c>
      <c r="P11">
        <f>IF(Inputs!$B$10="Manual", IF(O11="", P10, O11), W11)</f>
        <v/>
      </c>
      <c r="Q11">
        <f>R10</f>
        <v/>
      </c>
      <c r="R11">
        <f>P10</f>
        <v/>
      </c>
      <c r="S11">
        <f>T10</f>
        <v/>
      </c>
      <c r="T11">
        <f>'Wholesaler'!H10</f>
        <v/>
      </c>
      <c r="U11">
        <f>E11+S11+T11-F11</f>
        <v/>
      </c>
      <c r="V11">
        <f>Inputs!$B$5*Inputs!$B$13</f>
        <v/>
      </c>
      <c r="W11">
        <f>MAX(0, V11-U11)</f>
        <v/>
      </c>
    </row>
    <row r="12">
      <c r="A12" t="n">
        <v>11</v>
      </c>
      <c r="B12">
        <f>Demand!$E12</f>
        <v/>
      </c>
      <c r="C12">
        <f>B12</f>
        <v/>
      </c>
      <c r="D12">
        <f>S12</f>
        <v/>
      </c>
      <c r="E12">
        <f>I11</f>
        <v/>
      </c>
      <c r="F12">
        <f>J11</f>
        <v/>
      </c>
      <c r="G12">
        <f>F12+C12</f>
        <v/>
      </c>
      <c r="H12">
        <f>MIN(E12+D12, G12)</f>
        <v/>
      </c>
      <c r="I12">
        <f>E12+D12-H12</f>
        <v/>
      </c>
      <c r="J12">
        <f>G12-H12</f>
        <v/>
      </c>
      <c r="K12">
        <f>I12*Inputs!$B$3</f>
        <v/>
      </c>
      <c r="L12">
        <f>J12*Inputs!$B$4</f>
        <v/>
      </c>
      <c r="M12">
        <f>K12+L12</f>
        <v/>
      </c>
      <c r="N12">
        <f>N11+M12</f>
        <v/>
      </c>
      <c r="P12">
        <f>IF(Inputs!$B$10="Manual", IF(O12="", P11, O12), W12)</f>
        <v/>
      </c>
      <c r="Q12">
        <f>R11</f>
        <v/>
      </c>
      <c r="R12">
        <f>P11</f>
        <v/>
      </c>
      <c r="S12">
        <f>T11</f>
        <v/>
      </c>
      <c r="T12">
        <f>'Wholesaler'!H11</f>
        <v/>
      </c>
      <c r="U12">
        <f>E12+S12+T12-F12</f>
        <v/>
      </c>
      <c r="V12">
        <f>Inputs!$B$5*Inputs!$B$13</f>
        <v/>
      </c>
      <c r="W12">
        <f>MAX(0, V12-U12)</f>
        <v/>
      </c>
    </row>
    <row r="13">
      <c r="A13" t="n">
        <v>12</v>
      </c>
      <c r="B13">
        <f>Demand!$E13</f>
        <v/>
      </c>
      <c r="C13">
        <f>B13</f>
        <v/>
      </c>
      <c r="D13">
        <f>S13</f>
        <v/>
      </c>
      <c r="E13">
        <f>I12</f>
        <v/>
      </c>
      <c r="F13">
        <f>J12</f>
        <v/>
      </c>
      <c r="G13">
        <f>F13+C13</f>
        <v/>
      </c>
      <c r="H13">
        <f>MIN(E13+D13, G13)</f>
        <v/>
      </c>
      <c r="I13">
        <f>E13+D13-H13</f>
        <v/>
      </c>
      <c r="J13">
        <f>G13-H13</f>
        <v/>
      </c>
      <c r="K13">
        <f>I13*Inputs!$B$3</f>
        <v/>
      </c>
      <c r="L13">
        <f>J13*Inputs!$B$4</f>
        <v/>
      </c>
      <c r="M13">
        <f>K13+L13</f>
        <v/>
      </c>
      <c r="N13">
        <f>N12+M13</f>
        <v/>
      </c>
      <c r="P13">
        <f>IF(Inputs!$B$10="Manual", IF(O13="", P12, O13), W13)</f>
        <v/>
      </c>
      <c r="Q13">
        <f>R12</f>
        <v/>
      </c>
      <c r="R13">
        <f>P12</f>
        <v/>
      </c>
      <c r="S13">
        <f>T12</f>
        <v/>
      </c>
      <c r="T13">
        <f>'Wholesaler'!H12</f>
        <v/>
      </c>
      <c r="U13">
        <f>E13+S13+T13-F13</f>
        <v/>
      </c>
      <c r="V13">
        <f>Inputs!$B$5*Inputs!$B$13</f>
        <v/>
      </c>
      <c r="W13">
        <f>MAX(0, V13-U13)</f>
        <v/>
      </c>
    </row>
    <row r="14">
      <c r="A14" t="n">
        <v>13</v>
      </c>
      <c r="B14">
        <f>Demand!$E14</f>
        <v/>
      </c>
      <c r="C14">
        <f>B14</f>
        <v/>
      </c>
      <c r="D14">
        <f>S14</f>
        <v/>
      </c>
      <c r="E14">
        <f>I13</f>
        <v/>
      </c>
      <c r="F14">
        <f>J13</f>
        <v/>
      </c>
      <c r="G14">
        <f>F14+C14</f>
        <v/>
      </c>
      <c r="H14">
        <f>MIN(E14+D14, G14)</f>
        <v/>
      </c>
      <c r="I14">
        <f>E14+D14-H14</f>
        <v/>
      </c>
      <c r="J14">
        <f>G14-H14</f>
        <v/>
      </c>
      <c r="K14">
        <f>I14*Inputs!$B$3</f>
        <v/>
      </c>
      <c r="L14">
        <f>J14*Inputs!$B$4</f>
        <v/>
      </c>
      <c r="M14">
        <f>K14+L14</f>
        <v/>
      </c>
      <c r="N14">
        <f>N13+M14</f>
        <v/>
      </c>
      <c r="P14">
        <f>IF(Inputs!$B$10="Manual", IF(O14="", P13, O14), W14)</f>
        <v/>
      </c>
      <c r="Q14">
        <f>R13</f>
        <v/>
      </c>
      <c r="R14">
        <f>P13</f>
        <v/>
      </c>
      <c r="S14">
        <f>T13</f>
        <v/>
      </c>
      <c r="T14">
        <f>'Wholesaler'!H13</f>
        <v/>
      </c>
      <c r="U14">
        <f>E14+S14+T14-F14</f>
        <v/>
      </c>
      <c r="V14">
        <f>Inputs!$B$5*Inputs!$B$13</f>
        <v/>
      </c>
      <c r="W14">
        <f>MAX(0, V14-U14)</f>
        <v/>
      </c>
    </row>
    <row r="15">
      <c r="A15" t="n">
        <v>14</v>
      </c>
      <c r="B15">
        <f>Demand!$E15</f>
        <v/>
      </c>
      <c r="C15">
        <f>B15</f>
        <v/>
      </c>
      <c r="D15">
        <f>S15</f>
        <v/>
      </c>
      <c r="E15">
        <f>I14</f>
        <v/>
      </c>
      <c r="F15">
        <f>J14</f>
        <v/>
      </c>
      <c r="G15">
        <f>F15+C15</f>
        <v/>
      </c>
      <c r="H15">
        <f>MIN(E15+D15, G15)</f>
        <v/>
      </c>
      <c r="I15">
        <f>E15+D15-H15</f>
        <v/>
      </c>
      <c r="J15">
        <f>G15-H15</f>
        <v/>
      </c>
      <c r="K15">
        <f>I15*Inputs!$B$3</f>
        <v/>
      </c>
      <c r="L15">
        <f>J15*Inputs!$B$4</f>
        <v/>
      </c>
      <c r="M15">
        <f>K15+L15</f>
        <v/>
      </c>
      <c r="N15">
        <f>N14+M15</f>
        <v/>
      </c>
      <c r="P15">
        <f>IF(Inputs!$B$10="Manual", IF(O15="", P14, O15), W15)</f>
        <v/>
      </c>
      <c r="Q15">
        <f>R14</f>
        <v/>
      </c>
      <c r="R15">
        <f>P14</f>
        <v/>
      </c>
      <c r="S15">
        <f>T14</f>
        <v/>
      </c>
      <c r="T15">
        <f>'Wholesaler'!H14</f>
        <v/>
      </c>
      <c r="U15">
        <f>E15+S15+T15-F15</f>
        <v/>
      </c>
      <c r="V15">
        <f>Inputs!$B$5*Inputs!$B$13</f>
        <v/>
      </c>
      <c r="W15">
        <f>MAX(0, V15-U15)</f>
        <v/>
      </c>
    </row>
    <row r="16">
      <c r="A16" t="n">
        <v>15</v>
      </c>
      <c r="B16">
        <f>Demand!$E16</f>
        <v/>
      </c>
      <c r="C16">
        <f>B16</f>
        <v/>
      </c>
      <c r="D16">
        <f>S16</f>
        <v/>
      </c>
      <c r="E16">
        <f>I15</f>
        <v/>
      </c>
      <c r="F16">
        <f>J15</f>
        <v/>
      </c>
      <c r="G16">
        <f>F16+C16</f>
        <v/>
      </c>
      <c r="H16">
        <f>MIN(E16+D16, G16)</f>
        <v/>
      </c>
      <c r="I16">
        <f>E16+D16-H16</f>
        <v/>
      </c>
      <c r="J16">
        <f>G16-H16</f>
        <v/>
      </c>
      <c r="K16">
        <f>I16*Inputs!$B$3</f>
        <v/>
      </c>
      <c r="L16">
        <f>J16*Inputs!$B$4</f>
        <v/>
      </c>
      <c r="M16">
        <f>K16+L16</f>
        <v/>
      </c>
      <c r="N16">
        <f>N15+M16</f>
        <v/>
      </c>
      <c r="P16">
        <f>IF(Inputs!$B$10="Manual", IF(O16="", P15, O16), W16)</f>
        <v/>
      </c>
      <c r="Q16">
        <f>R15</f>
        <v/>
      </c>
      <c r="R16">
        <f>P15</f>
        <v/>
      </c>
      <c r="S16">
        <f>T15</f>
        <v/>
      </c>
      <c r="T16">
        <f>'Wholesaler'!H15</f>
        <v/>
      </c>
      <c r="U16">
        <f>E16+S16+T16-F16</f>
        <v/>
      </c>
      <c r="V16">
        <f>Inputs!$B$5*Inputs!$B$13</f>
        <v/>
      </c>
      <c r="W16">
        <f>MAX(0, V16-U16)</f>
        <v/>
      </c>
    </row>
    <row r="17">
      <c r="A17" t="n">
        <v>16</v>
      </c>
      <c r="B17">
        <f>Demand!$E17</f>
        <v/>
      </c>
      <c r="C17">
        <f>B17</f>
        <v/>
      </c>
      <c r="D17">
        <f>S17</f>
        <v/>
      </c>
      <c r="E17">
        <f>I16</f>
        <v/>
      </c>
      <c r="F17">
        <f>J16</f>
        <v/>
      </c>
      <c r="G17">
        <f>F17+C17</f>
        <v/>
      </c>
      <c r="H17">
        <f>MIN(E17+D17, G17)</f>
        <v/>
      </c>
      <c r="I17">
        <f>E17+D17-H17</f>
        <v/>
      </c>
      <c r="J17">
        <f>G17-H17</f>
        <v/>
      </c>
      <c r="K17">
        <f>I17*Inputs!$B$3</f>
        <v/>
      </c>
      <c r="L17">
        <f>J17*Inputs!$B$4</f>
        <v/>
      </c>
      <c r="M17">
        <f>K17+L17</f>
        <v/>
      </c>
      <c r="N17">
        <f>N16+M17</f>
        <v/>
      </c>
      <c r="P17">
        <f>IF(Inputs!$B$10="Manual", IF(O17="", P16, O17), W17)</f>
        <v/>
      </c>
      <c r="Q17">
        <f>R16</f>
        <v/>
      </c>
      <c r="R17">
        <f>P16</f>
        <v/>
      </c>
      <c r="S17">
        <f>T16</f>
        <v/>
      </c>
      <c r="T17">
        <f>'Wholesaler'!H16</f>
        <v/>
      </c>
      <c r="U17">
        <f>E17+S17+T17-F17</f>
        <v/>
      </c>
      <c r="V17">
        <f>Inputs!$B$5*Inputs!$B$13</f>
        <v/>
      </c>
      <c r="W17">
        <f>MAX(0, V17-U17)</f>
        <v/>
      </c>
    </row>
    <row r="18">
      <c r="A18" t="n">
        <v>17</v>
      </c>
      <c r="B18">
        <f>Demand!$E18</f>
        <v/>
      </c>
      <c r="C18">
        <f>B18</f>
        <v/>
      </c>
      <c r="D18">
        <f>S18</f>
        <v/>
      </c>
      <c r="E18">
        <f>I17</f>
        <v/>
      </c>
      <c r="F18">
        <f>J17</f>
        <v/>
      </c>
      <c r="G18">
        <f>F18+C18</f>
        <v/>
      </c>
      <c r="H18">
        <f>MIN(E18+D18, G18)</f>
        <v/>
      </c>
      <c r="I18">
        <f>E18+D18-H18</f>
        <v/>
      </c>
      <c r="J18">
        <f>G18-H18</f>
        <v/>
      </c>
      <c r="K18">
        <f>I18*Inputs!$B$3</f>
        <v/>
      </c>
      <c r="L18">
        <f>J18*Inputs!$B$4</f>
        <v/>
      </c>
      <c r="M18">
        <f>K18+L18</f>
        <v/>
      </c>
      <c r="N18">
        <f>N17+M18</f>
        <v/>
      </c>
      <c r="P18">
        <f>IF(Inputs!$B$10="Manual", IF(O18="", P17, O18), W18)</f>
        <v/>
      </c>
      <c r="Q18">
        <f>R17</f>
        <v/>
      </c>
      <c r="R18">
        <f>P17</f>
        <v/>
      </c>
      <c r="S18">
        <f>T17</f>
        <v/>
      </c>
      <c r="T18">
        <f>'Wholesaler'!H17</f>
        <v/>
      </c>
      <c r="U18">
        <f>E18+S18+T18-F18</f>
        <v/>
      </c>
      <c r="V18">
        <f>Inputs!$B$5*Inputs!$B$13</f>
        <v/>
      </c>
      <c r="W18">
        <f>MAX(0, V18-U18)</f>
        <v/>
      </c>
    </row>
    <row r="19">
      <c r="A19" t="n">
        <v>18</v>
      </c>
      <c r="B19">
        <f>Demand!$E19</f>
        <v/>
      </c>
      <c r="C19">
        <f>B19</f>
        <v/>
      </c>
      <c r="D19">
        <f>S19</f>
        <v/>
      </c>
      <c r="E19">
        <f>I18</f>
        <v/>
      </c>
      <c r="F19">
        <f>J18</f>
        <v/>
      </c>
      <c r="G19">
        <f>F19+C19</f>
        <v/>
      </c>
      <c r="H19">
        <f>MIN(E19+D19, G19)</f>
        <v/>
      </c>
      <c r="I19">
        <f>E19+D19-H19</f>
        <v/>
      </c>
      <c r="J19">
        <f>G19-H19</f>
        <v/>
      </c>
      <c r="K19">
        <f>I19*Inputs!$B$3</f>
        <v/>
      </c>
      <c r="L19">
        <f>J19*Inputs!$B$4</f>
        <v/>
      </c>
      <c r="M19">
        <f>K19+L19</f>
        <v/>
      </c>
      <c r="N19">
        <f>N18+M19</f>
        <v/>
      </c>
      <c r="P19">
        <f>IF(Inputs!$B$10="Manual", IF(O19="", P18, O19), W19)</f>
        <v/>
      </c>
      <c r="Q19">
        <f>R18</f>
        <v/>
      </c>
      <c r="R19">
        <f>P18</f>
        <v/>
      </c>
      <c r="S19">
        <f>T18</f>
        <v/>
      </c>
      <c r="T19">
        <f>'Wholesaler'!H18</f>
        <v/>
      </c>
      <c r="U19">
        <f>E19+S19+T19-F19</f>
        <v/>
      </c>
      <c r="V19">
        <f>Inputs!$B$5*Inputs!$B$13</f>
        <v/>
      </c>
      <c r="W19">
        <f>MAX(0, V19-U19)</f>
        <v/>
      </c>
    </row>
    <row r="20">
      <c r="A20" t="n">
        <v>19</v>
      </c>
      <c r="B20">
        <f>Demand!$E20</f>
        <v/>
      </c>
      <c r="C20">
        <f>B20</f>
        <v/>
      </c>
      <c r="D20">
        <f>S20</f>
        <v/>
      </c>
      <c r="E20">
        <f>I19</f>
        <v/>
      </c>
      <c r="F20">
        <f>J19</f>
        <v/>
      </c>
      <c r="G20">
        <f>F20+C20</f>
        <v/>
      </c>
      <c r="H20">
        <f>MIN(E20+D20, G20)</f>
        <v/>
      </c>
      <c r="I20">
        <f>E20+D20-H20</f>
        <v/>
      </c>
      <c r="J20">
        <f>G20-H20</f>
        <v/>
      </c>
      <c r="K20">
        <f>I20*Inputs!$B$3</f>
        <v/>
      </c>
      <c r="L20">
        <f>J20*Inputs!$B$4</f>
        <v/>
      </c>
      <c r="M20">
        <f>K20+L20</f>
        <v/>
      </c>
      <c r="N20">
        <f>N19+M20</f>
        <v/>
      </c>
      <c r="P20">
        <f>IF(Inputs!$B$10="Manual", IF(O20="", P19, O20), W20)</f>
        <v/>
      </c>
      <c r="Q20">
        <f>R19</f>
        <v/>
      </c>
      <c r="R20">
        <f>P19</f>
        <v/>
      </c>
      <c r="S20">
        <f>T19</f>
        <v/>
      </c>
      <c r="T20">
        <f>'Wholesaler'!H19</f>
        <v/>
      </c>
      <c r="U20">
        <f>E20+S20+T20-F20</f>
        <v/>
      </c>
      <c r="V20">
        <f>Inputs!$B$5*Inputs!$B$13</f>
        <v/>
      </c>
      <c r="W20">
        <f>MAX(0, V20-U20)</f>
        <v/>
      </c>
    </row>
    <row r="21">
      <c r="A21" t="n">
        <v>20</v>
      </c>
      <c r="B21">
        <f>Demand!$E21</f>
        <v/>
      </c>
      <c r="C21">
        <f>B21</f>
        <v/>
      </c>
      <c r="D21">
        <f>S21</f>
        <v/>
      </c>
      <c r="E21">
        <f>I20</f>
        <v/>
      </c>
      <c r="F21">
        <f>J20</f>
        <v/>
      </c>
      <c r="G21">
        <f>F21+C21</f>
        <v/>
      </c>
      <c r="H21">
        <f>MIN(E21+D21, G21)</f>
        <v/>
      </c>
      <c r="I21">
        <f>E21+D21-H21</f>
        <v/>
      </c>
      <c r="J21">
        <f>G21-H21</f>
        <v/>
      </c>
      <c r="K21">
        <f>I21*Inputs!$B$3</f>
        <v/>
      </c>
      <c r="L21">
        <f>J21*Inputs!$B$4</f>
        <v/>
      </c>
      <c r="M21">
        <f>K21+L21</f>
        <v/>
      </c>
      <c r="N21">
        <f>N20+M21</f>
        <v/>
      </c>
      <c r="P21">
        <f>IF(Inputs!$B$10="Manual", IF(O21="", P20, O21), W21)</f>
        <v/>
      </c>
      <c r="Q21">
        <f>R20</f>
        <v/>
      </c>
      <c r="R21">
        <f>P20</f>
        <v/>
      </c>
      <c r="S21">
        <f>T20</f>
        <v/>
      </c>
      <c r="T21">
        <f>'Wholesaler'!H20</f>
        <v/>
      </c>
      <c r="U21">
        <f>E21+S21+T21-F21</f>
        <v/>
      </c>
      <c r="V21">
        <f>Inputs!$B$5*Inputs!$B$13</f>
        <v/>
      </c>
      <c r="W21">
        <f>MAX(0, V21-U21)</f>
        <v/>
      </c>
    </row>
    <row r="22">
      <c r="A22" t="n">
        <v>21</v>
      </c>
      <c r="B22">
        <f>Demand!$E22</f>
        <v/>
      </c>
      <c r="C22">
        <f>B22</f>
        <v/>
      </c>
      <c r="D22">
        <f>S22</f>
        <v/>
      </c>
      <c r="E22">
        <f>I21</f>
        <v/>
      </c>
      <c r="F22">
        <f>J21</f>
        <v/>
      </c>
      <c r="G22">
        <f>F22+C22</f>
        <v/>
      </c>
      <c r="H22">
        <f>MIN(E22+D22, G22)</f>
        <v/>
      </c>
      <c r="I22">
        <f>E22+D22-H22</f>
        <v/>
      </c>
      <c r="J22">
        <f>G22-H22</f>
        <v/>
      </c>
      <c r="K22">
        <f>I22*Inputs!$B$3</f>
        <v/>
      </c>
      <c r="L22">
        <f>J22*Inputs!$B$4</f>
        <v/>
      </c>
      <c r="M22">
        <f>K22+L22</f>
        <v/>
      </c>
      <c r="N22">
        <f>N21+M22</f>
        <v/>
      </c>
      <c r="P22">
        <f>IF(Inputs!$B$10="Manual", IF(O22="", P21, O22), W22)</f>
        <v/>
      </c>
      <c r="Q22">
        <f>R21</f>
        <v/>
      </c>
      <c r="R22">
        <f>P21</f>
        <v/>
      </c>
      <c r="S22">
        <f>T21</f>
        <v/>
      </c>
      <c r="T22">
        <f>'Wholesaler'!H21</f>
        <v/>
      </c>
      <c r="U22">
        <f>E22+S22+T22-F22</f>
        <v/>
      </c>
      <c r="V22">
        <f>Inputs!$B$5*Inputs!$B$13</f>
        <v/>
      </c>
      <c r="W22">
        <f>MAX(0, V22-U22)</f>
        <v/>
      </c>
    </row>
    <row r="23">
      <c r="A23" t="n">
        <v>22</v>
      </c>
      <c r="B23">
        <f>Demand!$E23</f>
        <v/>
      </c>
      <c r="C23">
        <f>B23</f>
        <v/>
      </c>
      <c r="D23">
        <f>S23</f>
        <v/>
      </c>
      <c r="E23">
        <f>I22</f>
        <v/>
      </c>
      <c r="F23">
        <f>J22</f>
        <v/>
      </c>
      <c r="G23">
        <f>F23+C23</f>
        <v/>
      </c>
      <c r="H23">
        <f>MIN(E23+D23, G23)</f>
        <v/>
      </c>
      <c r="I23">
        <f>E23+D23-H23</f>
        <v/>
      </c>
      <c r="J23">
        <f>G23-H23</f>
        <v/>
      </c>
      <c r="K23">
        <f>I23*Inputs!$B$3</f>
        <v/>
      </c>
      <c r="L23">
        <f>J23*Inputs!$B$4</f>
        <v/>
      </c>
      <c r="M23">
        <f>K23+L23</f>
        <v/>
      </c>
      <c r="N23">
        <f>N22+M23</f>
        <v/>
      </c>
      <c r="P23">
        <f>IF(Inputs!$B$10="Manual", IF(O23="", P22, O23), W23)</f>
        <v/>
      </c>
      <c r="Q23">
        <f>R22</f>
        <v/>
      </c>
      <c r="R23">
        <f>P22</f>
        <v/>
      </c>
      <c r="S23">
        <f>T22</f>
        <v/>
      </c>
      <c r="T23">
        <f>'Wholesaler'!H22</f>
        <v/>
      </c>
      <c r="U23">
        <f>E23+S23+T23-F23</f>
        <v/>
      </c>
      <c r="V23">
        <f>Inputs!$B$5*Inputs!$B$13</f>
        <v/>
      </c>
      <c r="W23">
        <f>MAX(0, V23-U23)</f>
        <v/>
      </c>
    </row>
    <row r="24">
      <c r="A24" t="n">
        <v>23</v>
      </c>
      <c r="B24">
        <f>Demand!$E24</f>
        <v/>
      </c>
      <c r="C24">
        <f>B24</f>
        <v/>
      </c>
      <c r="D24">
        <f>S24</f>
        <v/>
      </c>
      <c r="E24">
        <f>I23</f>
        <v/>
      </c>
      <c r="F24">
        <f>J23</f>
        <v/>
      </c>
      <c r="G24">
        <f>F24+C24</f>
        <v/>
      </c>
      <c r="H24">
        <f>MIN(E24+D24, G24)</f>
        <v/>
      </c>
      <c r="I24">
        <f>E24+D24-H24</f>
        <v/>
      </c>
      <c r="J24">
        <f>G24-H24</f>
        <v/>
      </c>
      <c r="K24">
        <f>I24*Inputs!$B$3</f>
        <v/>
      </c>
      <c r="L24">
        <f>J24*Inputs!$B$4</f>
        <v/>
      </c>
      <c r="M24">
        <f>K24+L24</f>
        <v/>
      </c>
      <c r="N24">
        <f>N23+M24</f>
        <v/>
      </c>
      <c r="P24">
        <f>IF(Inputs!$B$10="Manual", IF(O24="", P23, O24), W24)</f>
        <v/>
      </c>
      <c r="Q24">
        <f>R23</f>
        <v/>
      </c>
      <c r="R24">
        <f>P23</f>
        <v/>
      </c>
      <c r="S24">
        <f>T23</f>
        <v/>
      </c>
      <c r="T24">
        <f>'Wholesaler'!H23</f>
        <v/>
      </c>
      <c r="U24">
        <f>E24+S24+T24-F24</f>
        <v/>
      </c>
      <c r="V24">
        <f>Inputs!$B$5*Inputs!$B$13</f>
        <v/>
      </c>
      <c r="W24">
        <f>MAX(0, V24-U24)</f>
        <v/>
      </c>
    </row>
    <row r="25">
      <c r="A25" t="n">
        <v>24</v>
      </c>
      <c r="B25">
        <f>Demand!$E25</f>
        <v/>
      </c>
      <c r="C25">
        <f>B25</f>
        <v/>
      </c>
      <c r="D25">
        <f>S25</f>
        <v/>
      </c>
      <c r="E25">
        <f>I24</f>
        <v/>
      </c>
      <c r="F25">
        <f>J24</f>
        <v/>
      </c>
      <c r="G25">
        <f>F25+C25</f>
        <v/>
      </c>
      <c r="H25">
        <f>MIN(E25+D25, G25)</f>
        <v/>
      </c>
      <c r="I25">
        <f>E25+D25-H25</f>
        <v/>
      </c>
      <c r="J25">
        <f>G25-H25</f>
        <v/>
      </c>
      <c r="K25">
        <f>I25*Inputs!$B$3</f>
        <v/>
      </c>
      <c r="L25">
        <f>J25*Inputs!$B$4</f>
        <v/>
      </c>
      <c r="M25">
        <f>K25+L25</f>
        <v/>
      </c>
      <c r="N25">
        <f>N24+M25</f>
        <v/>
      </c>
      <c r="P25">
        <f>IF(Inputs!$B$10="Manual", IF(O25="", P24, O25), W25)</f>
        <v/>
      </c>
      <c r="Q25">
        <f>R24</f>
        <v/>
      </c>
      <c r="R25">
        <f>P24</f>
        <v/>
      </c>
      <c r="S25">
        <f>T24</f>
        <v/>
      </c>
      <c r="T25">
        <f>'Wholesaler'!H24</f>
        <v/>
      </c>
      <c r="U25">
        <f>E25+S25+T25-F25</f>
        <v/>
      </c>
      <c r="V25">
        <f>Inputs!$B$5*Inputs!$B$13</f>
        <v/>
      </c>
      <c r="W25">
        <f>MAX(0, V25-U25)</f>
        <v/>
      </c>
    </row>
    <row r="26">
      <c r="A26" t="n">
        <v>25</v>
      </c>
      <c r="B26">
        <f>Demand!$E26</f>
        <v/>
      </c>
      <c r="C26">
        <f>B26</f>
        <v/>
      </c>
      <c r="D26">
        <f>S26</f>
        <v/>
      </c>
      <c r="E26">
        <f>I25</f>
        <v/>
      </c>
      <c r="F26">
        <f>J25</f>
        <v/>
      </c>
      <c r="G26">
        <f>F26+C26</f>
        <v/>
      </c>
      <c r="H26">
        <f>MIN(E26+D26, G26)</f>
        <v/>
      </c>
      <c r="I26">
        <f>E26+D26-H26</f>
        <v/>
      </c>
      <c r="J26">
        <f>G26-H26</f>
        <v/>
      </c>
      <c r="K26">
        <f>I26*Inputs!$B$3</f>
        <v/>
      </c>
      <c r="L26">
        <f>J26*Inputs!$B$4</f>
        <v/>
      </c>
      <c r="M26">
        <f>K26+L26</f>
        <v/>
      </c>
      <c r="N26">
        <f>N25+M26</f>
        <v/>
      </c>
      <c r="P26">
        <f>IF(Inputs!$B$10="Manual", IF(O26="", P25, O26), W26)</f>
        <v/>
      </c>
      <c r="Q26">
        <f>R25</f>
        <v/>
      </c>
      <c r="R26">
        <f>P25</f>
        <v/>
      </c>
      <c r="S26">
        <f>T25</f>
        <v/>
      </c>
      <c r="T26">
        <f>'Wholesaler'!H25</f>
        <v/>
      </c>
      <c r="U26">
        <f>E26+S26+T26-F26</f>
        <v/>
      </c>
      <c r="V26">
        <f>Inputs!$B$5*Inputs!$B$13</f>
        <v/>
      </c>
      <c r="W26">
        <f>MAX(0, V26-U26)</f>
        <v/>
      </c>
    </row>
    <row r="27">
      <c r="A27" t="n">
        <v>26</v>
      </c>
      <c r="B27">
        <f>Demand!$E27</f>
        <v/>
      </c>
      <c r="C27">
        <f>B27</f>
        <v/>
      </c>
      <c r="D27">
        <f>S27</f>
        <v/>
      </c>
      <c r="E27">
        <f>I26</f>
        <v/>
      </c>
      <c r="F27">
        <f>J26</f>
        <v/>
      </c>
      <c r="G27">
        <f>F27+C27</f>
        <v/>
      </c>
      <c r="H27">
        <f>MIN(E27+D27, G27)</f>
        <v/>
      </c>
      <c r="I27">
        <f>E27+D27-H27</f>
        <v/>
      </c>
      <c r="J27">
        <f>G27-H27</f>
        <v/>
      </c>
      <c r="K27">
        <f>I27*Inputs!$B$3</f>
        <v/>
      </c>
      <c r="L27">
        <f>J27*Inputs!$B$4</f>
        <v/>
      </c>
      <c r="M27">
        <f>K27+L27</f>
        <v/>
      </c>
      <c r="N27">
        <f>N26+M27</f>
        <v/>
      </c>
      <c r="P27">
        <f>IF(Inputs!$B$10="Manual", IF(O27="", P26, O27), W27)</f>
        <v/>
      </c>
      <c r="Q27">
        <f>R26</f>
        <v/>
      </c>
      <c r="R27">
        <f>P26</f>
        <v/>
      </c>
      <c r="S27">
        <f>T26</f>
        <v/>
      </c>
      <c r="T27">
        <f>'Wholesaler'!H26</f>
        <v/>
      </c>
      <c r="U27">
        <f>E27+S27+T27-F27</f>
        <v/>
      </c>
      <c r="V27">
        <f>Inputs!$B$5*Inputs!$B$13</f>
        <v/>
      </c>
      <c r="W27">
        <f>MAX(0, V27-U27)</f>
        <v/>
      </c>
    </row>
    <row r="28">
      <c r="A28" t="n">
        <v>27</v>
      </c>
      <c r="B28">
        <f>Demand!$E28</f>
        <v/>
      </c>
      <c r="C28">
        <f>B28</f>
        <v/>
      </c>
      <c r="D28">
        <f>S28</f>
        <v/>
      </c>
      <c r="E28">
        <f>I27</f>
        <v/>
      </c>
      <c r="F28">
        <f>J27</f>
        <v/>
      </c>
      <c r="G28">
        <f>F28+C28</f>
        <v/>
      </c>
      <c r="H28">
        <f>MIN(E28+D28, G28)</f>
        <v/>
      </c>
      <c r="I28">
        <f>E28+D28-H28</f>
        <v/>
      </c>
      <c r="J28">
        <f>G28-H28</f>
        <v/>
      </c>
      <c r="K28">
        <f>I28*Inputs!$B$3</f>
        <v/>
      </c>
      <c r="L28">
        <f>J28*Inputs!$B$4</f>
        <v/>
      </c>
      <c r="M28">
        <f>K28+L28</f>
        <v/>
      </c>
      <c r="N28">
        <f>N27+M28</f>
        <v/>
      </c>
      <c r="P28">
        <f>IF(Inputs!$B$10="Manual", IF(O28="", P27, O28), W28)</f>
        <v/>
      </c>
      <c r="Q28">
        <f>R27</f>
        <v/>
      </c>
      <c r="R28">
        <f>P27</f>
        <v/>
      </c>
      <c r="S28">
        <f>T27</f>
        <v/>
      </c>
      <c r="T28">
        <f>'Wholesaler'!H27</f>
        <v/>
      </c>
      <c r="U28">
        <f>E28+S28+T28-F28</f>
        <v/>
      </c>
      <c r="V28">
        <f>Inputs!$B$5*Inputs!$B$13</f>
        <v/>
      </c>
      <c r="W28">
        <f>MAX(0, V28-U28)</f>
        <v/>
      </c>
    </row>
    <row r="29">
      <c r="A29" t="n">
        <v>28</v>
      </c>
      <c r="B29">
        <f>Demand!$E29</f>
        <v/>
      </c>
      <c r="C29">
        <f>B29</f>
        <v/>
      </c>
      <c r="D29">
        <f>S29</f>
        <v/>
      </c>
      <c r="E29">
        <f>I28</f>
        <v/>
      </c>
      <c r="F29">
        <f>J28</f>
        <v/>
      </c>
      <c r="G29">
        <f>F29+C29</f>
        <v/>
      </c>
      <c r="H29">
        <f>MIN(E29+D29, G29)</f>
        <v/>
      </c>
      <c r="I29">
        <f>E29+D29-H29</f>
        <v/>
      </c>
      <c r="J29">
        <f>G29-H29</f>
        <v/>
      </c>
      <c r="K29">
        <f>I29*Inputs!$B$3</f>
        <v/>
      </c>
      <c r="L29">
        <f>J29*Inputs!$B$4</f>
        <v/>
      </c>
      <c r="M29">
        <f>K29+L29</f>
        <v/>
      </c>
      <c r="N29">
        <f>N28+M29</f>
        <v/>
      </c>
      <c r="P29">
        <f>IF(Inputs!$B$10="Manual", IF(O29="", P28, O29), W29)</f>
        <v/>
      </c>
      <c r="Q29">
        <f>R28</f>
        <v/>
      </c>
      <c r="R29">
        <f>P28</f>
        <v/>
      </c>
      <c r="S29">
        <f>T28</f>
        <v/>
      </c>
      <c r="T29">
        <f>'Wholesaler'!H28</f>
        <v/>
      </c>
      <c r="U29">
        <f>E29+S29+T29-F29</f>
        <v/>
      </c>
      <c r="V29">
        <f>Inputs!$B$5*Inputs!$B$13</f>
        <v/>
      </c>
      <c r="W29">
        <f>MAX(0, V29-U29)</f>
        <v/>
      </c>
    </row>
    <row r="30">
      <c r="A30" t="n">
        <v>29</v>
      </c>
      <c r="B30">
        <f>Demand!$E30</f>
        <v/>
      </c>
      <c r="C30">
        <f>B30</f>
        <v/>
      </c>
      <c r="D30">
        <f>S30</f>
        <v/>
      </c>
      <c r="E30">
        <f>I29</f>
        <v/>
      </c>
      <c r="F30">
        <f>J29</f>
        <v/>
      </c>
      <c r="G30">
        <f>F30+C30</f>
        <v/>
      </c>
      <c r="H30">
        <f>MIN(E30+D30, G30)</f>
        <v/>
      </c>
      <c r="I30">
        <f>E30+D30-H30</f>
        <v/>
      </c>
      <c r="J30">
        <f>G30-H30</f>
        <v/>
      </c>
      <c r="K30">
        <f>I30*Inputs!$B$3</f>
        <v/>
      </c>
      <c r="L30">
        <f>J30*Inputs!$B$4</f>
        <v/>
      </c>
      <c r="M30">
        <f>K30+L30</f>
        <v/>
      </c>
      <c r="N30">
        <f>N29+M30</f>
        <v/>
      </c>
      <c r="P30">
        <f>IF(Inputs!$B$10="Manual", IF(O30="", P29, O30), W30)</f>
        <v/>
      </c>
      <c r="Q30">
        <f>R29</f>
        <v/>
      </c>
      <c r="R30">
        <f>P29</f>
        <v/>
      </c>
      <c r="S30">
        <f>T29</f>
        <v/>
      </c>
      <c r="T30">
        <f>'Wholesaler'!H29</f>
        <v/>
      </c>
      <c r="U30">
        <f>E30+S30+T30-F30</f>
        <v/>
      </c>
      <c r="V30">
        <f>Inputs!$B$5*Inputs!$B$13</f>
        <v/>
      </c>
      <c r="W30">
        <f>MAX(0, V30-U30)</f>
        <v/>
      </c>
    </row>
    <row r="31">
      <c r="A31" t="n">
        <v>30</v>
      </c>
      <c r="B31">
        <f>Demand!$E31</f>
        <v/>
      </c>
      <c r="C31">
        <f>B31</f>
        <v/>
      </c>
      <c r="D31">
        <f>S31</f>
        <v/>
      </c>
      <c r="E31">
        <f>I30</f>
        <v/>
      </c>
      <c r="F31">
        <f>J30</f>
        <v/>
      </c>
      <c r="G31">
        <f>F31+C31</f>
        <v/>
      </c>
      <c r="H31">
        <f>MIN(E31+D31, G31)</f>
        <v/>
      </c>
      <c r="I31">
        <f>E31+D31-H31</f>
        <v/>
      </c>
      <c r="J31">
        <f>G31-H31</f>
        <v/>
      </c>
      <c r="K31">
        <f>I31*Inputs!$B$3</f>
        <v/>
      </c>
      <c r="L31">
        <f>J31*Inputs!$B$4</f>
        <v/>
      </c>
      <c r="M31">
        <f>K31+L31</f>
        <v/>
      </c>
      <c r="N31">
        <f>N30+M31</f>
        <v/>
      </c>
      <c r="P31">
        <f>IF(Inputs!$B$10="Manual", IF(O31="", P30, O31), W31)</f>
        <v/>
      </c>
      <c r="Q31">
        <f>R30</f>
        <v/>
      </c>
      <c r="R31">
        <f>P30</f>
        <v/>
      </c>
      <c r="S31">
        <f>T30</f>
        <v/>
      </c>
      <c r="T31">
        <f>'Wholesaler'!H30</f>
        <v/>
      </c>
      <c r="U31">
        <f>E31+S31+T31-F31</f>
        <v/>
      </c>
      <c r="V31">
        <f>Inputs!$B$5*Inputs!$B$13</f>
        <v/>
      </c>
      <c r="W31">
        <f>MAX(0, V31-U31)</f>
        <v/>
      </c>
    </row>
    <row r="32">
      <c r="A32" t="n">
        <v>31</v>
      </c>
      <c r="B32">
        <f>Demand!$E32</f>
        <v/>
      </c>
      <c r="C32">
        <f>B32</f>
        <v/>
      </c>
      <c r="D32">
        <f>S32</f>
        <v/>
      </c>
      <c r="E32">
        <f>I31</f>
        <v/>
      </c>
      <c r="F32">
        <f>J31</f>
        <v/>
      </c>
      <c r="G32">
        <f>F32+C32</f>
        <v/>
      </c>
      <c r="H32">
        <f>MIN(E32+D32, G32)</f>
        <v/>
      </c>
      <c r="I32">
        <f>E32+D32-H32</f>
        <v/>
      </c>
      <c r="J32">
        <f>G32-H32</f>
        <v/>
      </c>
      <c r="K32">
        <f>I32*Inputs!$B$3</f>
        <v/>
      </c>
      <c r="L32">
        <f>J32*Inputs!$B$4</f>
        <v/>
      </c>
      <c r="M32">
        <f>K32+L32</f>
        <v/>
      </c>
      <c r="N32">
        <f>N31+M32</f>
        <v/>
      </c>
      <c r="P32">
        <f>IF(Inputs!$B$10="Manual", IF(O32="", P31, O32), W32)</f>
        <v/>
      </c>
      <c r="Q32">
        <f>R31</f>
        <v/>
      </c>
      <c r="R32">
        <f>P31</f>
        <v/>
      </c>
      <c r="S32">
        <f>T31</f>
        <v/>
      </c>
      <c r="T32">
        <f>'Wholesaler'!H31</f>
        <v/>
      </c>
      <c r="U32">
        <f>E32+S32+T32-F32</f>
        <v/>
      </c>
      <c r="V32">
        <f>Inputs!$B$5*Inputs!$B$13</f>
        <v/>
      </c>
      <c r="W32">
        <f>MAX(0, V32-U32)</f>
        <v/>
      </c>
    </row>
    <row r="33">
      <c r="A33" t="n">
        <v>32</v>
      </c>
      <c r="B33">
        <f>Demand!$E33</f>
        <v/>
      </c>
      <c r="C33">
        <f>B33</f>
        <v/>
      </c>
      <c r="D33">
        <f>S33</f>
        <v/>
      </c>
      <c r="E33">
        <f>I32</f>
        <v/>
      </c>
      <c r="F33">
        <f>J32</f>
        <v/>
      </c>
      <c r="G33">
        <f>F33+C33</f>
        <v/>
      </c>
      <c r="H33">
        <f>MIN(E33+D33, G33)</f>
        <v/>
      </c>
      <c r="I33">
        <f>E33+D33-H33</f>
        <v/>
      </c>
      <c r="J33">
        <f>G33-H33</f>
        <v/>
      </c>
      <c r="K33">
        <f>I33*Inputs!$B$3</f>
        <v/>
      </c>
      <c r="L33">
        <f>J33*Inputs!$B$4</f>
        <v/>
      </c>
      <c r="M33">
        <f>K33+L33</f>
        <v/>
      </c>
      <c r="N33">
        <f>N32+M33</f>
        <v/>
      </c>
      <c r="P33">
        <f>IF(Inputs!$B$10="Manual", IF(O33="", P32, O33), W33)</f>
        <v/>
      </c>
      <c r="Q33">
        <f>R32</f>
        <v/>
      </c>
      <c r="R33">
        <f>P32</f>
        <v/>
      </c>
      <c r="S33">
        <f>T32</f>
        <v/>
      </c>
      <c r="T33">
        <f>'Wholesaler'!H32</f>
        <v/>
      </c>
      <c r="U33">
        <f>E33+S33+T33-F33</f>
        <v/>
      </c>
      <c r="V33">
        <f>Inputs!$B$5*Inputs!$B$13</f>
        <v/>
      </c>
      <c r="W33">
        <f>MAX(0, V33-U33)</f>
        <v/>
      </c>
    </row>
    <row r="34">
      <c r="A34" t="n">
        <v>33</v>
      </c>
      <c r="B34">
        <f>Demand!$E34</f>
        <v/>
      </c>
      <c r="C34">
        <f>B34</f>
        <v/>
      </c>
      <c r="D34">
        <f>S34</f>
        <v/>
      </c>
      <c r="E34">
        <f>I33</f>
        <v/>
      </c>
      <c r="F34">
        <f>J33</f>
        <v/>
      </c>
      <c r="G34">
        <f>F34+C34</f>
        <v/>
      </c>
      <c r="H34">
        <f>MIN(E34+D34, G34)</f>
        <v/>
      </c>
      <c r="I34">
        <f>E34+D34-H34</f>
        <v/>
      </c>
      <c r="J34">
        <f>G34-H34</f>
        <v/>
      </c>
      <c r="K34">
        <f>I34*Inputs!$B$3</f>
        <v/>
      </c>
      <c r="L34">
        <f>J34*Inputs!$B$4</f>
        <v/>
      </c>
      <c r="M34">
        <f>K34+L34</f>
        <v/>
      </c>
      <c r="N34">
        <f>N33+M34</f>
        <v/>
      </c>
      <c r="P34">
        <f>IF(Inputs!$B$10="Manual", IF(O34="", P33, O34), W34)</f>
        <v/>
      </c>
      <c r="Q34">
        <f>R33</f>
        <v/>
      </c>
      <c r="R34">
        <f>P33</f>
        <v/>
      </c>
      <c r="S34">
        <f>T33</f>
        <v/>
      </c>
      <c r="T34">
        <f>'Wholesaler'!H33</f>
        <v/>
      </c>
      <c r="U34">
        <f>E34+S34+T34-F34</f>
        <v/>
      </c>
      <c r="V34">
        <f>Inputs!$B$5*Inputs!$B$13</f>
        <v/>
      </c>
      <c r="W34">
        <f>MAX(0, V34-U34)</f>
        <v/>
      </c>
    </row>
    <row r="35">
      <c r="A35" t="n">
        <v>34</v>
      </c>
      <c r="B35">
        <f>Demand!$E35</f>
        <v/>
      </c>
      <c r="C35">
        <f>B35</f>
        <v/>
      </c>
      <c r="D35">
        <f>S35</f>
        <v/>
      </c>
      <c r="E35">
        <f>I34</f>
        <v/>
      </c>
      <c r="F35">
        <f>J34</f>
        <v/>
      </c>
      <c r="G35">
        <f>F35+C35</f>
        <v/>
      </c>
      <c r="H35">
        <f>MIN(E35+D35, G35)</f>
        <v/>
      </c>
      <c r="I35">
        <f>E35+D35-H35</f>
        <v/>
      </c>
      <c r="J35">
        <f>G35-H35</f>
        <v/>
      </c>
      <c r="K35">
        <f>I35*Inputs!$B$3</f>
        <v/>
      </c>
      <c r="L35">
        <f>J35*Inputs!$B$4</f>
        <v/>
      </c>
      <c r="M35">
        <f>K35+L35</f>
        <v/>
      </c>
      <c r="N35">
        <f>N34+M35</f>
        <v/>
      </c>
      <c r="P35">
        <f>IF(Inputs!$B$10="Manual", IF(O35="", P34, O35), W35)</f>
        <v/>
      </c>
      <c r="Q35">
        <f>R34</f>
        <v/>
      </c>
      <c r="R35">
        <f>P34</f>
        <v/>
      </c>
      <c r="S35">
        <f>T34</f>
        <v/>
      </c>
      <c r="T35">
        <f>'Wholesaler'!H34</f>
        <v/>
      </c>
      <c r="U35">
        <f>E35+S35+T35-F35</f>
        <v/>
      </c>
      <c r="V35">
        <f>Inputs!$B$5*Inputs!$B$13</f>
        <v/>
      </c>
      <c r="W35">
        <f>MAX(0, V35-U35)</f>
        <v/>
      </c>
    </row>
    <row r="36">
      <c r="A36" t="n">
        <v>35</v>
      </c>
      <c r="B36">
        <f>Demand!$E36</f>
        <v/>
      </c>
      <c r="C36">
        <f>B36</f>
        <v/>
      </c>
      <c r="D36">
        <f>S36</f>
        <v/>
      </c>
      <c r="E36">
        <f>I35</f>
        <v/>
      </c>
      <c r="F36">
        <f>J35</f>
        <v/>
      </c>
      <c r="G36">
        <f>F36+C36</f>
        <v/>
      </c>
      <c r="H36">
        <f>MIN(E36+D36, G36)</f>
        <v/>
      </c>
      <c r="I36">
        <f>E36+D36-H36</f>
        <v/>
      </c>
      <c r="J36">
        <f>G36-H36</f>
        <v/>
      </c>
      <c r="K36">
        <f>I36*Inputs!$B$3</f>
        <v/>
      </c>
      <c r="L36">
        <f>J36*Inputs!$B$4</f>
        <v/>
      </c>
      <c r="M36">
        <f>K36+L36</f>
        <v/>
      </c>
      <c r="N36">
        <f>N35+M36</f>
        <v/>
      </c>
      <c r="P36">
        <f>IF(Inputs!$B$10="Manual", IF(O36="", P35, O36), W36)</f>
        <v/>
      </c>
      <c r="Q36">
        <f>R35</f>
        <v/>
      </c>
      <c r="R36">
        <f>P35</f>
        <v/>
      </c>
      <c r="S36">
        <f>T35</f>
        <v/>
      </c>
      <c r="T36">
        <f>'Wholesaler'!H35</f>
        <v/>
      </c>
      <c r="U36">
        <f>E36+S36+T36-F36</f>
        <v/>
      </c>
      <c r="V36">
        <f>Inputs!$B$5*Inputs!$B$13</f>
        <v/>
      </c>
      <c r="W36">
        <f>MAX(0, V36-U36)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C2">
        <f>'Retailer'!Q2</f>
        <v/>
      </c>
      <c r="D2">
        <f>S2</f>
        <v/>
      </c>
      <c r="E2">
        <f>Inputs!$B$18</f>
        <v/>
      </c>
      <c r="F2" t="n">
        <v>0</v>
      </c>
      <c r="G2">
        <f>F2+C2</f>
        <v/>
      </c>
      <c r="H2">
        <f>MIN(E2+D2, G2)</f>
        <v/>
      </c>
      <c r="I2">
        <f>E2+D2-H2</f>
        <v/>
      </c>
      <c r="J2">
        <f>G2-H2</f>
        <v/>
      </c>
      <c r="K2">
        <f>I2*Inputs!$B$3</f>
        <v/>
      </c>
      <c r="L2">
        <f>J2*Inputs!$B$4</f>
        <v/>
      </c>
      <c r="M2">
        <f>K2+L2</f>
        <v/>
      </c>
      <c r="N2">
        <f>M2</f>
        <v/>
      </c>
      <c r="P2">
        <f>IF(Inputs!$B$10="Manual", IF(O2="", Inputs!$B$23, O2), W2)</f>
        <v/>
      </c>
      <c r="Q2">
        <f>Inputs!$B$21</f>
        <v/>
      </c>
      <c r="R2">
        <f>Inputs!$B$22</f>
        <v/>
      </c>
      <c r="S2">
        <f>Inputs!$B$19</f>
        <v/>
      </c>
      <c r="T2">
        <f>Inputs!$B$20</f>
        <v/>
      </c>
      <c r="U2">
        <f>E2+S2+T2-F2</f>
        <v/>
      </c>
      <c r="V2">
        <f>Inputs!$B$5*Inputs!$B$14</f>
        <v/>
      </c>
      <c r="W2">
        <f>MAX(0, V2-U2)</f>
        <v/>
      </c>
    </row>
    <row r="3">
      <c r="A3" t="n">
        <v>2</v>
      </c>
      <c r="C3">
        <f>'Retailer'!Q3</f>
        <v/>
      </c>
      <c r="D3">
        <f>S3</f>
        <v/>
      </c>
      <c r="E3">
        <f>I2</f>
        <v/>
      </c>
      <c r="F3">
        <f>J2</f>
        <v/>
      </c>
      <c r="G3">
        <f>F3+C3</f>
        <v/>
      </c>
      <c r="H3">
        <f>MIN(E3+D3, G3)</f>
        <v/>
      </c>
      <c r="I3">
        <f>E3+D3-H3</f>
        <v/>
      </c>
      <c r="J3">
        <f>G3-H3</f>
        <v/>
      </c>
      <c r="K3">
        <f>I3*Inputs!$B$3</f>
        <v/>
      </c>
      <c r="L3">
        <f>J3*Inputs!$B$4</f>
        <v/>
      </c>
      <c r="M3">
        <f>K3+L3</f>
        <v/>
      </c>
      <c r="N3">
        <f>N2+M3</f>
        <v/>
      </c>
      <c r="P3">
        <f>IF(Inputs!$B$10="Manual", IF(O3="", P2, O3), W3)</f>
        <v/>
      </c>
      <c r="Q3">
        <f>R2</f>
        <v/>
      </c>
      <c r="R3">
        <f>P2</f>
        <v/>
      </c>
      <c r="S3">
        <f>T2</f>
        <v/>
      </c>
      <c r="T3">
        <f>'Distributor'!H2</f>
        <v/>
      </c>
      <c r="U3">
        <f>E3+S3+T3-F3</f>
        <v/>
      </c>
      <c r="V3">
        <f>Inputs!$B$5*Inputs!$B$14</f>
        <v/>
      </c>
      <c r="W3">
        <f>MAX(0, V3-U3)</f>
        <v/>
      </c>
    </row>
    <row r="4">
      <c r="A4" t="n">
        <v>3</v>
      </c>
      <c r="C4">
        <f>'Retailer'!Q4</f>
        <v/>
      </c>
      <c r="D4">
        <f>S4</f>
        <v/>
      </c>
      <c r="E4">
        <f>I3</f>
        <v/>
      </c>
      <c r="F4">
        <f>J3</f>
        <v/>
      </c>
      <c r="G4">
        <f>F4+C4</f>
        <v/>
      </c>
      <c r="H4">
        <f>MIN(E4+D4, G4)</f>
        <v/>
      </c>
      <c r="I4">
        <f>E4+D4-H4</f>
        <v/>
      </c>
      <c r="J4">
        <f>G4-H4</f>
        <v/>
      </c>
      <c r="K4">
        <f>I4*Inputs!$B$3</f>
        <v/>
      </c>
      <c r="L4">
        <f>J4*Inputs!$B$4</f>
        <v/>
      </c>
      <c r="M4">
        <f>K4+L4</f>
        <v/>
      </c>
      <c r="N4">
        <f>N3+M4</f>
        <v/>
      </c>
      <c r="P4">
        <f>IF(Inputs!$B$10="Manual", IF(O4="", P3, O4), W4)</f>
        <v/>
      </c>
      <c r="Q4">
        <f>R3</f>
        <v/>
      </c>
      <c r="R4">
        <f>P3</f>
        <v/>
      </c>
      <c r="S4">
        <f>T3</f>
        <v/>
      </c>
      <c r="T4">
        <f>'Distributor'!H3</f>
        <v/>
      </c>
      <c r="U4">
        <f>E4+S4+T4-F4</f>
        <v/>
      </c>
      <c r="V4">
        <f>Inputs!$B$5*Inputs!$B$14</f>
        <v/>
      </c>
      <c r="W4">
        <f>MAX(0, V4-U4)</f>
        <v/>
      </c>
    </row>
    <row r="5">
      <c r="A5" t="n">
        <v>4</v>
      </c>
      <c r="C5">
        <f>'Retailer'!Q5</f>
        <v/>
      </c>
      <c r="D5">
        <f>S5</f>
        <v/>
      </c>
      <c r="E5">
        <f>I4</f>
        <v/>
      </c>
      <c r="F5">
        <f>J4</f>
        <v/>
      </c>
      <c r="G5">
        <f>F5+C5</f>
        <v/>
      </c>
      <c r="H5">
        <f>MIN(E5+D5, G5)</f>
        <v/>
      </c>
      <c r="I5">
        <f>E5+D5-H5</f>
        <v/>
      </c>
      <c r="J5">
        <f>G5-H5</f>
        <v/>
      </c>
      <c r="K5">
        <f>I5*Inputs!$B$3</f>
        <v/>
      </c>
      <c r="L5">
        <f>J5*Inputs!$B$4</f>
        <v/>
      </c>
      <c r="M5">
        <f>K5+L5</f>
        <v/>
      </c>
      <c r="N5">
        <f>N4+M5</f>
        <v/>
      </c>
      <c r="P5">
        <f>IF(Inputs!$B$10="Manual", IF(O5="", P4, O5), W5)</f>
        <v/>
      </c>
      <c r="Q5">
        <f>R4</f>
        <v/>
      </c>
      <c r="R5">
        <f>P4</f>
        <v/>
      </c>
      <c r="S5">
        <f>T4</f>
        <v/>
      </c>
      <c r="T5">
        <f>'Distributor'!H4</f>
        <v/>
      </c>
      <c r="U5">
        <f>E5+S5+T5-F5</f>
        <v/>
      </c>
      <c r="V5">
        <f>Inputs!$B$5*Inputs!$B$14</f>
        <v/>
      </c>
      <c r="W5">
        <f>MAX(0, V5-U5)</f>
        <v/>
      </c>
    </row>
    <row r="6">
      <c r="A6" t="n">
        <v>5</v>
      </c>
      <c r="C6">
        <f>'Retailer'!Q6</f>
        <v/>
      </c>
      <c r="D6">
        <f>S6</f>
        <v/>
      </c>
      <c r="E6">
        <f>I5</f>
        <v/>
      </c>
      <c r="F6">
        <f>J5</f>
        <v/>
      </c>
      <c r="G6">
        <f>F6+C6</f>
        <v/>
      </c>
      <c r="H6">
        <f>MIN(E6+D6, G6)</f>
        <v/>
      </c>
      <c r="I6">
        <f>E6+D6-H6</f>
        <v/>
      </c>
      <c r="J6">
        <f>G6-H6</f>
        <v/>
      </c>
      <c r="K6">
        <f>I6*Inputs!$B$3</f>
        <v/>
      </c>
      <c r="L6">
        <f>J6*Inputs!$B$4</f>
        <v/>
      </c>
      <c r="M6">
        <f>K6+L6</f>
        <v/>
      </c>
      <c r="N6">
        <f>N5+M6</f>
        <v/>
      </c>
      <c r="P6">
        <f>IF(Inputs!$B$10="Manual", IF(O6="", P5, O6), W6)</f>
        <v/>
      </c>
      <c r="Q6">
        <f>R5</f>
        <v/>
      </c>
      <c r="R6">
        <f>P5</f>
        <v/>
      </c>
      <c r="S6">
        <f>T5</f>
        <v/>
      </c>
      <c r="T6">
        <f>'Distributor'!H5</f>
        <v/>
      </c>
      <c r="U6">
        <f>E6+S6+T6-F6</f>
        <v/>
      </c>
      <c r="V6">
        <f>Inputs!$B$5*Inputs!$B$14</f>
        <v/>
      </c>
      <c r="W6">
        <f>MAX(0, V6-U6)</f>
        <v/>
      </c>
    </row>
    <row r="7">
      <c r="A7" t="n">
        <v>6</v>
      </c>
      <c r="C7">
        <f>'Retailer'!Q7</f>
        <v/>
      </c>
      <c r="D7">
        <f>S7</f>
        <v/>
      </c>
      <c r="E7">
        <f>I6</f>
        <v/>
      </c>
      <c r="F7">
        <f>J6</f>
        <v/>
      </c>
      <c r="G7">
        <f>F7+C7</f>
        <v/>
      </c>
      <c r="H7">
        <f>MIN(E7+D7, G7)</f>
        <v/>
      </c>
      <c r="I7">
        <f>E7+D7-H7</f>
        <v/>
      </c>
      <c r="J7">
        <f>G7-H7</f>
        <v/>
      </c>
      <c r="K7">
        <f>I7*Inputs!$B$3</f>
        <v/>
      </c>
      <c r="L7">
        <f>J7*Inputs!$B$4</f>
        <v/>
      </c>
      <c r="M7">
        <f>K7+L7</f>
        <v/>
      </c>
      <c r="N7">
        <f>N6+M7</f>
        <v/>
      </c>
      <c r="P7">
        <f>IF(Inputs!$B$10="Manual", IF(O7="", P6, O7), W7)</f>
        <v/>
      </c>
      <c r="Q7">
        <f>R6</f>
        <v/>
      </c>
      <c r="R7">
        <f>P6</f>
        <v/>
      </c>
      <c r="S7">
        <f>T6</f>
        <v/>
      </c>
      <c r="T7">
        <f>'Distributor'!H6</f>
        <v/>
      </c>
      <c r="U7">
        <f>E7+S7+T7-F7</f>
        <v/>
      </c>
      <c r="V7">
        <f>Inputs!$B$5*Inputs!$B$14</f>
        <v/>
      </c>
      <c r="W7">
        <f>MAX(0, V7-U7)</f>
        <v/>
      </c>
    </row>
    <row r="8">
      <c r="A8" t="n">
        <v>7</v>
      </c>
      <c r="C8">
        <f>'Retailer'!Q8</f>
        <v/>
      </c>
      <c r="D8">
        <f>S8</f>
        <v/>
      </c>
      <c r="E8">
        <f>I7</f>
        <v/>
      </c>
      <c r="F8">
        <f>J7</f>
        <v/>
      </c>
      <c r="G8">
        <f>F8+C8</f>
        <v/>
      </c>
      <c r="H8">
        <f>MIN(E8+D8, G8)</f>
        <v/>
      </c>
      <c r="I8">
        <f>E8+D8-H8</f>
        <v/>
      </c>
      <c r="J8">
        <f>G8-H8</f>
        <v/>
      </c>
      <c r="K8">
        <f>I8*Inputs!$B$3</f>
        <v/>
      </c>
      <c r="L8">
        <f>J8*Inputs!$B$4</f>
        <v/>
      </c>
      <c r="M8">
        <f>K8+L8</f>
        <v/>
      </c>
      <c r="N8">
        <f>N7+M8</f>
        <v/>
      </c>
      <c r="P8">
        <f>IF(Inputs!$B$10="Manual", IF(O8="", P7, O8), W8)</f>
        <v/>
      </c>
      <c r="Q8">
        <f>R7</f>
        <v/>
      </c>
      <c r="R8">
        <f>P7</f>
        <v/>
      </c>
      <c r="S8">
        <f>T7</f>
        <v/>
      </c>
      <c r="T8">
        <f>'Distributor'!H7</f>
        <v/>
      </c>
      <c r="U8">
        <f>E8+S8+T8-F8</f>
        <v/>
      </c>
      <c r="V8">
        <f>Inputs!$B$5*Inputs!$B$14</f>
        <v/>
      </c>
      <c r="W8">
        <f>MAX(0, V8-U8)</f>
        <v/>
      </c>
    </row>
    <row r="9">
      <c r="A9" t="n">
        <v>8</v>
      </c>
      <c r="C9">
        <f>'Retailer'!Q9</f>
        <v/>
      </c>
      <c r="D9">
        <f>S9</f>
        <v/>
      </c>
      <c r="E9">
        <f>I8</f>
        <v/>
      </c>
      <c r="F9">
        <f>J8</f>
        <v/>
      </c>
      <c r="G9">
        <f>F9+C9</f>
        <v/>
      </c>
      <c r="H9">
        <f>MIN(E9+D9, G9)</f>
        <v/>
      </c>
      <c r="I9">
        <f>E9+D9-H9</f>
        <v/>
      </c>
      <c r="J9">
        <f>G9-H9</f>
        <v/>
      </c>
      <c r="K9">
        <f>I9*Inputs!$B$3</f>
        <v/>
      </c>
      <c r="L9">
        <f>J9*Inputs!$B$4</f>
        <v/>
      </c>
      <c r="M9">
        <f>K9+L9</f>
        <v/>
      </c>
      <c r="N9">
        <f>N8+M9</f>
        <v/>
      </c>
      <c r="P9">
        <f>IF(Inputs!$B$10="Manual", IF(O9="", P8, O9), W9)</f>
        <v/>
      </c>
      <c r="Q9">
        <f>R8</f>
        <v/>
      </c>
      <c r="R9">
        <f>P8</f>
        <v/>
      </c>
      <c r="S9">
        <f>T8</f>
        <v/>
      </c>
      <c r="T9">
        <f>'Distributor'!H8</f>
        <v/>
      </c>
      <c r="U9">
        <f>E9+S9+T9-F9</f>
        <v/>
      </c>
      <c r="V9">
        <f>Inputs!$B$5*Inputs!$B$14</f>
        <v/>
      </c>
      <c r="W9">
        <f>MAX(0, V9-U9)</f>
        <v/>
      </c>
    </row>
    <row r="10">
      <c r="A10" t="n">
        <v>9</v>
      </c>
      <c r="C10">
        <f>'Retailer'!Q10</f>
        <v/>
      </c>
      <c r="D10">
        <f>S10</f>
        <v/>
      </c>
      <c r="E10">
        <f>I9</f>
        <v/>
      </c>
      <c r="F10">
        <f>J9</f>
        <v/>
      </c>
      <c r="G10">
        <f>F10+C10</f>
        <v/>
      </c>
      <c r="H10">
        <f>MIN(E10+D10, G10)</f>
        <v/>
      </c>
      <c r="I10">
        <f>E10+D10-H10</f>
        <v/>
      </c>
      <c r="J10">
        <f>G10-H10</f>
        <v/>
      </c>
      <c r="K10">
        <f>I10*Inputs!$B$3</f>
        <v/>
      </c>
      <c r="L10">
        <f>J10*Inputs!$B$4</f>
        <v/>
      </c>
      <c r="M10">
        <f>K10+L10</f>
        <v/>
      </c>
      <c r="N10">
        <f>N9+M10</f>
        <v/>
      </c>
      <c r="P10">
        <f>IF(Inputs!$B$10="Manual", IF(O10="", P9, O10), W10)</f>
        <v/>
      </c>
      <c r="Q10">
        <f>R9</f>
        <v/>
      </c>
      <c r="R10">
        <f>P9</f>
        <v/>
      </c>
      <c r="S10">
        <f>T9</f>
        <v/>
      </c>
      <c r="T10">
        <f>'Distributor'!H9</f>
        <v/>
      </c>
      <c r="U10">
        <f>E10+S10+T10-F10</f>
        <v/>
      </c>
      <c r="V10">
        <f>Inputs!$B$5*Inputs!$B$14</f>
        <v/>
      </c>
      <c r="W10">
        <f>MAX(0, V10-U10)</f>
        <v/>
      </c>
    </row>
    <row r="11">
      <c r="A11" t="n">
        <v>10</v>
      </c>
      <c r="C11">
        <f>'Retailer'!Q11</f>
        <v/>
      </c>
      <c r="D11">
        <f>S11</f>
        <v/>
      </c>
      <c r="E11">
        <f>I10</f>
        <v/>
      </c>
      <c r="F11">
        <f>J10</f>
        <v/>
      </c>
      <c r="G11">
        <f>F11+C11</f>
        <v/>
      </c>
      <c r="H11">
        <f>MIN(E11+D11, G11)</f>
        <v/>
      </c>
      <c r="I11">
        <f>E11+D11-H11</f>
        <v/>
      </c>
      <c r="J11">
        <f>G11-H11</f>
        <v/>
      </c>
      <c r="K11">
        <f>I11*Inputs!$B$3</f>
        <v/>
      </c>
      <c r="L11">
        <f>J11*Inputs!$B$4</f>
        <v/>
      </c>
      <c r="M11">
        <f>K11+L11</f>
        <v/>
      </c>
      <c r="N11">
        <f>N10+M11</f>
        <v/>
      </c>
      <c r="P11">
        <f>IF(Inputs!$B$10="Manual", IF(O11="", P10, O11), W11)</f>
        <v/>
      </c>
      <c r="Q11">
        <f>R10</f>
        <v/>
      </c>
      <c r="R11">
        <f>P10</f>
        <v/>
      </c>
      <c r="S11">
        <f>T10</f>
        <v/>
      </c>
      <c r="T11">
        <f>'Distributor'!H10</f>
        <v/>
      </c>
      <c r="U11">
        <f>E11+S11+T11-F11</f>
        <v/>
      </c>
      <c r="V11">
        <f>Inputs!$B$5*Inputs!$B$14</f>
        <v/>
      </c>
      <c r="W11">
        <f>MAX(0, V11-U11)</f>
        <v/>
      </c>
    </row>
    <row r="12">
      <c r="A12" t="n">
        <v>11</v>
      </c>
      <c r="C12">
        <f>'Retailer'!Q12</f>
        <v/>
      </c>
      <c r="D12">
        <f>S12</f>
        <v/>
      </c>
      <c r="E12">
        <f>I11</f>
        <v/>
      </c>
      <c r="F12">
        <f>J11</f>
        <v/>
      </c>
      <c r="G12">
        <f>F12+C12</f>
        <v/>
      </c>
      <c r="H12">
        <f>MIN(E12+D12, G12)</f>
        <v/>
      </c>
      <c r="I12">
        <f>E12+D12-H12</f>
        <v/>
      </c>
      <c r="J12">
        <f>G12-H12</f>
        <v/>
      </c>
      <c r="K12">
        <f>I12*Inputs!$B$3</f>
        <v/>
      </c>
      <c r="L12">
        <f>J12*Inputs!$B$4</f>
        <v/>
      </c>
      <c r="M12">
        <f>K12+L12</f>
        <v/>
      </c>
      <c r="N12">
        <f>N11+M12</f>
        <v/>
      </c>
      <c r="P12">
        <f>IF(Inputs!$B$10="Manual", IF(O12="", P11, O12), W12)</f>
        <v/>
      </c>
      <c r="Q12">
        <f>R11</f>
        <v/>
      </c>
      <c r="R12">
        <f>P11</f>
        <v/>
      </c>
      <c r="S12">
        <f>T11</f>
        <v/>
      </c>
      <c r="T12">
        <f>'Distributor'!H11</f>
        <v/>
      </c>
      <c r="U12">
        <f>E12+S12+T12-F12</f>
        <v/>
      </c>
      <c r="V12">
        <f>Inputs!$B$5*Inputs!$B$14</f>
        <v/>
      </c>
      <c r="W12">
        <f>MAX(0, V12-U12)</f>
        <v/>
      </c>
    </row>
    <row r="13">
      <c r="A13" t="n">
        <v>12</v>
      </c>
      <c r="C13">
        <f>'Retailer'!Q13</f>
        <v/>
      </c>
      <c r="D13">
        <f>S13</f>
        <v/>
      </c>
      <c r="E13">
        <f>I12</f>
        <v/>
      </c>
      <c r="F13">
        <f>J12</f>
        <v/>
      </c>
      <c r="G13">
        <f>F13+C13</f>
        <v/>
      </c>
      <c r="H13">
        <f>MIN(E13+D13, G13)</f>
        <v/>
      </c>
      <c r="I13">
        <f>E13+D13-H13</f>
        <v/>
      </c>
      <c r="J13">
        <f>G13-H13</f>
        <v/>
      </c>
      <c r="K13">
        <f>I13*Inputs!$B$3</f>
        <v/>
      </c>
      <c r="L13">
        <f>J13*Inputs!$B$4</f>
        <v/>
      </c>
      <c r="M13">
        <f>K13+L13</f>
        <v/>
      </c>
      <c r="N13">
        <f>N12+M13</f>
        <v/>
      </c>
      <c r="P13">
        <f>IF(Inputs!$B$10="Manual", IF(O13="", P12, O13), W13)</f>
        <v/>
      </c>
      <c r="Q13">
        <f>R12</f>
        <v/>
      </c>
      <c r="R13">
        <f>P12</f>
        <v/>
      </c>
      <c r="S13">
        <f>T12</f>
        <v/>
      </c>
      <c r="T13">
        <f>'Distributor'!H12</f>
        <v/>
      </c>
      <c r="U13">
        <f>E13+S13+T13-F13</f>
        <v/>
      </c>
      <c r="V13">
        <f>Inputs!$B$5*Inputs!$B$14</f>
        <v/>
      </c>
      <c r="W13">
        <f>MAX(0, V13-U13)</f>
        <v/>
      </c>
    </row>
    <row r="14">
      <c r="A14" t="n">
        <v>13</v>
      </c>
      <c r="C14">
        <f>'Retailer'!Q14</f>
        <v/>
      </c>
      <c r="D14">
        <f>S14</f>
        <v/>
      </c>
      <c r="E14">
        <f>I13</f>
        <v/>
      </c>
      <c r="F14">
        <f>J13</f>
        <v/>
      </c>
      <c r="G14">
        <f>F14+C14</f>
        <v/>
      </c>
      <c r="H14">
        <f>MIN(E14+D14, G14)</f>
        <v/>
      </c>
      <c r="I14">
        <f>E14+D14-H14</f>
        <v/>
      </c>
      <c r="J14">
        <f>G14-H14</f>
        <v/>
      </c>
      <c r="K14">
        <f>I14*Inputs!$B$3</f>
        <v/>
      </c>
      <c r="L14">
        <f>J14*Inputs!$B$4</f>
        <v/>
      </c>
      <c r="M14">
        <f>K14+L14</f>
        <v/>
      </c>
      <c r="N14">
        <f>N13+M14</f>
        <v/>
      </c>
      <c r="P14">
        <f>IF(Inputs!$B$10="Manual", IF(O14="", P13, O14), W14)</f>
        <v/>
      </c>
      <c r="Q14">
        <f>R13</f>
        <v/>
      </c>
      <c r="R14">
        <f>P13</f>
        <v/>
      </c>
      <c r="S14">
        <f>T13</f>
        <v/>
      </c>
      <c r="T14">
        <f>'Distributor'!H13</f>
        <v/>
      </c>
      <c r="U14">
        <f>E14+S14+T14-F14</f>
        <v/>
      </c>
      <c r="V14">
        <f>Inputs!$B$5*Inputs!$B$14</f>
        <v/>
      </c>
      <c r="W14">
        <f>MAX(0, V14-U14)</f>
        <v/>
      </c>
    </row>
    <row r="15">
      <c r="A15" t="n">
        <v>14</v>
      </c>
      <c r="C15">
        <f>'Retailer'!Q15</f>
        <v/>
      </c>
      <c r="D15">
        <f>S15</f>
        <v/>
      </c>
      <c r="E15">
        <f>I14</f>
        <v/>
      </c>
      <c r="F15">
        <f>J14</f>
        <v/>
      </c>
      <c r="G15">
        <f>F15+C15</f>
        <v/>
      </c>
      <c r="H15">
        <f>MIN(E15+D15, G15)</f>
        <v/>
      </c>
      <c r="I15">
        <f>E15+D15-H15</f>
        <v/>
      </c>
      <c r="J15">
        <f>G15-H15</f>
        <v/>
      </c>
      <c r="K15">
        <f>I15*Inputs!$B$3</f>
        <v/>
      </c>
      <c r="L15">
        <f>J15*Inputs!$B$4</f>
        <v/>
      </c>
      <c r="M15">
        <f>K15+L15</f>
        <v/>
      </c>
      <c r="N15">
        <f>N14+M15</f>
        <v/>
      </c>
      <c r="P15">
        <f>IF(Inputs!$B$10="Manual", IF(O15="", P14, O15), W15)</f>
        <v/>
      </c>
      <c r="Q15">
        <f>R14</f>
        <v/>
      </c>
      <c r="R15">
        <f>P14</f>
        <v/>
      </c>
      <c r="S15">
        <f>T14</f>
        <v/>
      </c>
      <c r="T15">
        <f>'Distributor'!H14</f>
        <v/>
      </c>
      <c r="U15">
        <f>E15+S15+T15-F15</f>
        <v/>
      </c>
      <c r="V15">
        <f>Inputs!$B$5*Inputs!$B$14</f>
        <v/>
      </c>
      <c r="W15">
        <f>MAX(0, V15-U15)</f>
        <v/>
      </c>
    </row>
    <row r="16">
      <c r="A16" t="n">
        <v>15</v>
      </c>
      <c r="C16">
        <f>'Retailer'!Q16</f>
        <v/>
      </c>
      <c r="D16">
        <f>S16</f>
        <v/>
      </c>
      <c r="E16">
        <f>I15</f>
        <v/>
      </c>
      <c r="F16">
        <f>J15</f>
        <v/>
      </c>
      <c r="G16">
        <f>F16+C16</f>
        <v/>
      </c>
      <c r="H16">
        <f>MIN(E16+D16, G16)</f>
        <v/>
      </c>
      <c r="I16">
        <f>E16+D16-H16</f>
        <v/>
      </c>
      <c r="J16">
        <f>G16-H16</f>
        <v/>
      </c>
      <c r="K16">
        <f>I16*Inputs!$B$3</f>
        <v/>
      </c>
      <c r="L16">
        <f>J16*Inputs!$B$4</f>
        <v/>
      </c>
      <c r="M16">
        <f>K16+L16</f>
        <v/>
      </c>
      <c r="N16">
        <f>N15+M16</f>
        <v/>
      </c>
      <c r="P16">
        <f>IF(Inputs!$B$10="Manual", IF(O16="", P15, O16), W16)</f>
        <v/>
      </c>
      <c r="Q16">
        <f>R15</f>
        <v/>
      </c>
      <c r="R16">
        <f>P15</f>
        <v/>
      </c>
      <c r="S16">
        <f>T15</f>
        <v/>
      </c>
      <c r="T16">
        <f>'Distributor'!H15</f>
        <v/>
      </c>
      <c r="U16">
        <f>E16+S16+T16-F16</f>
        <v/>
      </c>
      <c r="V16">
        <f>Inputs!$B$5*Inputs!$B$14</f>
        <v/>
      </c>
      <c r="W16">
        <f>MAX(0, V16-U16)</f>
        <v/>
      </c>
    </row>
    <row r="17">
      <c r="A17" t="n">
        <v>16</v>
      </c>
      <c r="C17">
        <f>'Retailer'!Q17</f>
        <v/>
      </c>
      <c r="D17">
        <f>S17</f>
        <v/>
      </c>
      <c r="E17">
        <f>I16</f>
        <v/>
      </c>
      <c r="F17">
        <f>J16</f>
        <v/>
      </c>
      <c r="G17">
        <f>F17+C17</f>
        <v/>
      </c>
      <c r="H17">
        <f>MIN(E17+D17, G17)</f>
        <v/>
      </c>
      <c r="I17">
        <f>E17+D17-H17</f>
        <v/>
      </c>
      <c r="J17">
        <f>G17-H17</f>
        <v/>
      </c>
      <c r="K17">
        <f>I17*Inputs!$B$3</f>
        <v/>
      </c>
      <c r="L17">
        <f>J17*Inputs!$B$4</f>
        <v/>
      </c>
      <c r="M17">
        <f>K17+L17</f>
        <v/>
      </c>
      <c r="N17">
        <f>N16+M17</f>
        <v/>
      </c>
      <c r="P17">
        <f>IF(Inputs!$B$10="Manual", IF(O17="", P16, O17), W17)</f>
        <v/>
      </c>
      <c r="Q17">
        <f>R16</f>
        <v/>
      </c>
      <c r="R17">
        <f>P16</f>
        <v/>
      </c>
      <c r="S17">
        <f>T16</f>
        <v/>
      </c>
      <c r="T17">
        <f>'Distributor'!H16</f>
        <v/>
      </c>
      <c r="U17">
        <f>E17+S17+T17-F17</f>
        <v/>
      </c>
      <c r="V17">
        <f>Inputs!$B$5*Inputs!$B$14</f>
        <v/>
      </c>
      <c r="W17">
        <f>MAX(0, V17-U17)</f>
        <v/>
      </c>
    </row>
    <row r="18">
      <c r="A18" t="n">
        <v>17</v>
      </c>
      <c r="C18">
        <f>'Retailer'!Q18</f>
        <v/>
      </c>
      <c r="D18">
        <f>S18</f>
        <v/>
      </c>
      <c r="E18">
        <f>I17</f>
        <v/>
      </c>
      <c r="F18">
        <f>J17</f>
        <v/>
      </c>
      <c r="G18">
        <f>F18+C18</f>
        <v/>
      </c>
      <c r="H18">
        <f>MIN(E18+D18, G18)</f>
        <v/>
      </c>
      <c r="I18">
        <f>E18+D18-H18</f>
        <v/>
      </c>
      <c r="J18">
        <f>G18-H18</f>
        <v/>
      </c>
      <c r="K18">
        <f>I18*Inputs!$B$3</f>
        <v/>
      </c>
      <c r="L18">
        <f>J18*Inputs!$B$4</f>
        <v/>
      </c>
      <c r="M18">
        <f>K18+L18</f>
        <v/>
      </c>
      <c r="N18">
        <f>N17+M18</f>
        <v/>
      </c>
      <c r="P18">
        <f>IF(Inputs!$B$10="Manual", IF(O18="", P17, O18), W18)</f>
        <v/>
      </c>
      <c r="Q18">
        <f>R17</f>
        <v/>
      </c>
      <c r="R18">
        <f>P17</f>
        <v/>
      </c>
      <c r="S18">
        <f>T17</f>
        <v/>
      </c>
      <c r="T18">
        <f>'Distributor'!H17</f>
        <v/>
      </c>
      <c r="U18">
        <f>E18+S18+T18-F18</f>
        <v/>
      </c>
      <c r="V18">
        <f>Inputs!$B$5*Inputs!$B$14</f>
        <v/>
      </c>
      <c r="W18">
        <f>MAX(0, V18-U18)</f>
        <v/>
      </c>
    </row>
    <row r="19">
      <c r="A19" t="n">
        <v>18</v>
      </c>
      <c r="C19">
        <f>'Retailer'!Q19</f>
        <v/>
      </c>
      <c r="D19">
        <f>S19</f>
        <v/>
      </c>
      <c r="E19">
        <f>I18</f>
        <v/>
      </c>
      <c r="F19">
        <f>J18</f>
        <v/>
      </c>
      <c r="G19">
        <f>F19+C19</f>
        <v/>
      </c>
      <c r="H19">
        <f>MIN(E19+D19, G19)</f>
        <v/>
      </c>
      <c r="I19">
        <f>E19+D19-H19</f>
        <v/>
      </c>
      <c r="J19">
        <f>G19-H19</f>
        <v/>
      </c>
      <c r="K19">
        <f>I19*Inputs!$B$3</f>
        <v/>
      </c>
      <c r="L19">
        <f>J19*Inputs!$B$4</f>
        <v/>
      </c>
      <c r="M19">
        <f>K19+L19</f>
        <v/>
      </c>
      <c r="N19">
        <f>N18+M19</f>
        <v/>
      </c>
      <c r="P19">
        <f>IF(Inputs!$B$10="Manual", IF(O19="", P18, O19), W19)</f>
        <v/>
      </c>
      <c r="Q19">
        <f>R18</f>
        <v/>
      </c>
      <c r="R19">
        <f>P18</f>
        <v/>
      </c>
      <c r="S19">
        <f>T18</f>
        <v/>
      </c>
      <c r="T19">
        <f>'Distributor'!H18</f>
        <v/>
      </c>
      <c r="U19">
        <f>E19+S19+T19-F19</f>
        <v/>
      </c>
      <c r="V19">
        <f>Inputs!$B$5*Inputs!$B$14</f>
        <v/>
      </c>
      <c r="W19">
        <f>MAX(0, V19-U19)</f>
        <v/>
      </c>
    </row>
    <row r="20">
      <c r="A20" t="n">
        <v>19</v>
      </c>
      <c r="C20">
        <f>'Retailer'!Q20</f>
        <v/>
      </c>
      <c r="D20">
        <f>S20</f>
        <v/>
      </c>
      <c r="E20">
        <f>I19</f>
        <v/>
      </c>
      <c r="F20">
        <f>J19</f>
        <v/>
      </c>
      <c r="G20">
        <f>F20+C20</f>
        <v/>
      </c>
      <c r="H20">
        <f>MIN(E20+D20, G20)</f>
        <v/>
      </c>
      <c r="I20">
        <f>E20+D20-H20</f>
        <v/>
      </c>
      <c r="J20">
        <f>G20-H20</f>
        <v/>
      </c>
      <c r="K20">
        <f>I20*Inputs!$B$3</f>
        <v/>
      </c>
      <c r="L20">
        <f>J20*Inputs!$B$4</f>
        <v/>
      </c>
      <c r="M20">
        <f>K20+L20</f>
        <v/>
      </c>
      <c r="N20">
        <f>N19+M20</f>
        <v/>
      </c>
      <c r="P20">
        <f>IF(Inputs!$B$10="Manual", IF(O20="", P19, O20), W20)</f>
        <v/>
      </c>
      <c r="Q20">
        <f>R19</f>
        <v/>
      </c>
      <c r="R20">
        <f>P19</f>
        <v/>
      </c>
      <c r="S20">
        <f>T19</f>
        <v/>
      </c>
      <c r="T20">
        <f>'Distributor'!H19</f>
        <v/>
      </c>
      <c r="U20">
        <f>E20+S20+T20-F20</f>
        <v/>
      </c>
      <c r="V20">
        <f>Inputs!$B$5*Inputs!$B$14</f>
        <v/>
      </c>
      <c r="W20">
        <f>MAX(0, V20-U20)</f>
        <v/>
      </c>
    </row>
    <row r="21">
      <c r="A21" t="n">
        <v>20</v>
      </c>
      <c r="C21">
        <f>'Retailer'!Q21</f>
        <v/>
      </c>
      <c r="D21">
        <f>S21</f>
        <v/>
      </c>
      <c r="E21">
        <f>I20</f>
        <v/>
      </c>
      <c r="F21">
        <f>J20</f>
        <v/>
      </c>
      <c r="G21">
        <f>F21+C21</f>
        <v/>
      </c>
      <c r="H21">
        <f>MIN(E21+D21, G21)</f>
        <v/>
      </c>
      <c r="I21">
        <f>E21+D21-H21</f>
        <v/>
      </c>
      <c r="J21">
        <f>G21-H21</f>
        <v/>
      </c>
      <c r="K21">
        <f>I21*Inputs!$B$3</f>
        <v/>
      </c>
      <c r="L21">
        <f>J21*Inputs!$B$4</f>
        <v/>
      </c>
      <c r="M21">
        <f>K21+L21</f>
        <v/>
      </c>
      <c r="N21">
        <f>N20+M21</f>
        <v/>
      </c>
      <c r="P21">
        <f>IF(Inputs!$B$10="Manual", IF(O21="", P20, O21), W21)</f>
        <v/>
      </c>
      <c r="Q21">
        <f>R20</f>
        <v/>
      </c>
      <c r="R21">
        <f>P20</f>
        <v/>
      </c>
      <c r="S21">
        <f>T20</f>
        <v/>
      </c>
      <c r="T21">
        <f>'Distributor'!H20</f>
        <v/>
      </c>
      <c r="U21">
        <f>E21+S21+T21-F21</f>
        <v/>
      </c>
      <c r="V21">
        <f>Inputs!$B$5*Inputs!$B$14</f>
        <v/>
      </c>
      <c r="W21">
        <f>MAX(0, V21-U21)</f>
        <v/>
      </c>
    </row>
    <row r="22">
      <c r="A22" t="n">
        <v>21</v>
      </c>
      <c r="C22">
        <f>'Retailer'!Q22</f>
        <v/>
      </c>
      <c r="D22">
        <f>S22</f>
        <v/>
      </c>
      <c r="E22">
        <f>I21</f>
        <v/>
      </c>
      <c r="F22">
        <f>J21</f>
        <v/>
      </c>
      <c r="G22">
        <f>F22+C22</f>
        <v/>
      </c>
      <c r="H22">
        <f>MIN(E22+D22, G22)</f>
        <v/>
      </c>
      <c r="I22">
        <f>E22+D22-H22</f>
        <v/>
      </c>
      <c r="J22">
        <f>G22-H22</f>
        <v/>
      </c>
      <c r="K22">
        <f>I22*Inputs!$B$3</f>
        <v/>
      </c>
      <c r="L22">
        <f>J22*Inputs!$B$4</f>
        <v/>
      </c>
      <c r="M22">
        <f>K22+L22</f>
        <v/>
      </c>
      <c r="N22">
        <f>N21+M22</f>
        <v/>
      </c>
      <c r="P22">
        <f>IF(Inputs!$B$10="Manual", IF(O22="", P21, O22), W22)</f>
        <v/>
      </c>
      <c r="Q22">
        <f>R21</f>
        <v/>
      </c>
      <c r="R22">
        <f>P21</f>
        <v/>
      </c>
      <c r="S22">
        <f>T21</f>
        <v/>
      </c>
      <c r="T22">
        <f>'Distributor'!H21</f>
        <v/>
      </c>
      <c r="U22">
        <f>E22+S22+T22-F22</f>
        <v/>
      </c>
      <c r="V22">
        <f>Inputs!$B$5*Inputs!$B$14</f>
        <v/>
      </c>
      <c r="W22">
        <f>MAX(0, V22-U22)</f>
        <v/>
      </c>
    </row>
    <row r="23">
      <c r="A23" t="n">
        <v>22</v>
      </c>
      <c r="C23">
        <f>'Retailer'!Q23</f>
        <v/>
      </c>
      <c r="D23">
        <f>S23</f>
        <v/>
      </c>
      <c r="E23">
        <f>I22</f>
        <v/>
      </c>
      <c r="F23">
        <f>J22</f>
        <v/>
      </c>
      <c r="G23">
        <f>F23+C23</f>
        <v/>
      </c>
      <c r="H23">
        <f>MIN(E23+D23, G23)</f>
        <v/>
      </c>
      <c r="I23">
        <f>E23+D23-H23</f>
        <v/>
      </c>
      <c r="J23">
        <f>G23-H23</f>
        <v/>
      </c>
      <c r="K23">
        <f>I23*Inputs!$B$3</f>
        <v/>
      </c>
      <c r="L23">
        <f>J23*Inputs!$B$4</f>
        <v/>
      </c>
      <c r="M23">
        <f>K23+L23</f>
        <v/>
      </c>
      <c r="N23">
        <f>N22+M23</f>
        <v/>
      </c>
      <c r="P23">
        <f>IF(Inputs!$B$10="Manual", IF(O23="", P22, O23), W23)</f>
        <v/>
      </c>
      <c r="Q23">
        <f>R22</f>
        <v/>
      </c>
      <c r="R23">
        <f>P22</f>
        <v/>
      </c>
      <c r="S23">
        <f>T22</f>
        <v/>
      </c>
      <c r="T23">
        <f>'Distributor'!H22</f>
        <v/>
      </c>
      <c r="U23">
        <f>E23+S23+T23-F23</f>
        <v/>
      </c>
      <c r="V23">
        <f>Inputs!$B$5*Inputs!$B$14</f>
        <v/>
      </c>
      <c r="W23">
        <f>MAX(0, V23-U23)</f>
        <v/>
      </c>
    </row>
    <row r="24">
      <c r="A24" t="n">
        <v>23</v>
      </c>
      <c r="C24">
        <f>'Retailer'!Q24</f>
        <v/>
      </c>
      <c r="D24">
        <f>S24</f>
        <v/>
      </c>
      <c r="E24">
        <f>I23</f>
        <v/>
      </c>
      <c r="F24">
        <f>J23</f>
        <v/>
      </c>
      <c r="G24">
        <f>F24+C24</f>
        <v/>
      </c>
      <c r="H24">
        <f>MIN(E24+D24, G24)</f>
        <v/>
      </c>
      <c r="I24">
        <f>E24+D24-H24</f>
        <v/>
      </c>
      <c r="J24">
        <f>G24-H24</f>
        <v/>
      </c>
      <c r="K24">
        <f>I24*Inputs!$B$3</f>
        <v/>
      </c>
      <c r="L24">
        <f>J24*Inputs!$B$4</f>
        <v/>
      </c>
      <c r="M24">
        <f>K24+L24</f>
        <v/>
      </c>
      <c r="N24">
        <f>N23+M24</f>
        <v/>
      </c>
      <c r="P24">
        <f>IF(Inputs!$B$10="Manual", IF(O24="", P23, O24), W24)</f>
        <v/>
      </c>
      <c r="Q24">
        <f>R23</f>
        <v/>
      </c>
      <c r="R24">
        <f>P23</f>
        <v/>
      </c>
      <c r="S24">
        <f>T23</f>
        <v/>
      </c>
      <c r="T24">
        <f>'Distributor'!H23</f>
        <v/>
      </c>
      <c r="U24">
        <f>E24+S24+T24-F24</f>
        <v/>
      </c>
      <c r="V24">
        <f>Inputs!$B$5*Inputs!$B$14</f>
        <v/>
      </c>
      <c r="W24">
        <f>MAX(0, V24-U24)</f>
        <v/>
      </c>
    </row>
    <row r="25">
      <c r="A25" t="n">
        <v>24</v>
      </c>
      <c r="C25">
        <f>'Retailer'!Q25</f>
        <v/>
      </c>
      <c r="D25">
        <f>S25</f>
        <v/>
      </c>
      <c r="E25">
        <f>I24</f>
        <v/>
      </c>
      <c r="F25">
        <f>J24</f>
        <v/>
      </c>
      <c r="G25">
        <f>F25+C25</f>
        <v/>
      </c>
      <c r="H25">
        <f>MIN(E25+D25, G25)</f>
        <v/>
      </c>
      <c r="I25">
        <f>E25+D25-H25</f>
        <v/>
      </c>
      <c r="J25">
        <f>G25-H25</f>
        <v/>
      </c>
      <c r="K25">
        <f>I25*Inputs!$B$3</f>
        <v/>
      </c>
      <c r="L25">
        <f>J25*Inputs!$B$4</f>
        <v/>
      </c>
      <c r="M25">
        <f>K25+L25</f>
        <v/>
      </c>
      <c r="N25">
        <f>N24+M25</f>
        <v/>
      </c>
      <c r="P25">
        <f>IF(Inputs!$B$10="Manual", IF(O25="", P24, O25), W25)</f>
        <v/>
      </c>
      <c r="Q25">
        <f>R24</f>
        <v/>
      </c>
      <c r="R25">
        <f>P24</f>
        <v/>
      </c>
      <c r="S25">
        <f>T24</f>
        <v/>
      </c>
      <c r="T25">
        <f>'Distributor'!H24</f>
        <v/>
      </c>
      <c r="U25">
        <f>E25+S25+T25-F25</f>
        <v/>
      </c>
      <c r="V25">
        <f>Inputs!$B$5*Inputs!$B$14</f>
        <v/>
      </c>
      <c r="W25">
        <f>MAX(0, V25-U25)</f>
        <v/>
      </c>
    </row>
    <row r="26">
      <c r="A26" t="n">
        <v>25</v>
      </c>
      <c r="C26">
        <f>'Retailer'!Q26</f>
        <v/>
      </c>
      <c r="D26">
        <f>S26</f>
        <v/>
      </c>
      <c r="E26">
        <f>I25</f>
        <v/>
      </c>
      <c r="F26">
        <f>J25</f>
        <v/>
      </c>
      <c r="G26">
        <f>F26+C26</f>
        <v/>
      </c>
      <c r="H26">
        <f>MIN(E26+D26, G26)</f>
        <v/>
      </c>
      <c r="I26">
        <f>E26+D26-H26</f>
        <v/>
      </c>
      <c r="J26">
        <f>G26-H26</f>
        <v/>
      </c>
      <c r="K26">
        <f>I26*Inputs!$B$3</f>
        <v/>
      </c>
      <c r="L26">
        <f>J26*Inputs!$B$4</f>
        <v/>
      </c>
      <c r="M26">
        <f>K26+L26</f>
        <v/>
      </c>
      <c r="N26">
        <f>N25+M26</f>
        <v/>
      </c>
      <c r="P26">
        <f>IF(Inputs!$B$10="Manual", IF(O26="", P25, O26), W26)</f>
        <v/>
      </c>
      <c r="Q26">
        <f>R25</f>
        <v/>
      </c>
      <c r="R26">
        <f>P25</f>
        <v/>
      </c>
      <c r="S26">
        <f>T25</f>
        <v/>
      </c>
      <c r="T26">
        <f>'Distributor'!H25</f>
        <v/>
      </c>
      <c r="U26">
        <f>E26+S26+T26-F26</f>
        <v/>
      </c>
      <c r="V26">
        <f>Inputs!$B$5*Inputs!$B$14</f>
        <v/>
      </c>
      <c r="W26">
        <f>MAX(0, V26-U26)</f>
        <v/>
      </c>
    </row>
    <row r="27">
      <c r="A27" t="n">
        <v>26</v>
      </c>
      <c r="C27">
        <f>'Retailer'!Q27</f>
        <v/>
      </c>
      <c r="D27">
        <f>S27</f>
        <v/>
      </c>
      <c r="E27">
        <f>I26</f>
        <v/>
      </c>
      <c r="F27">
        <f>J26</f>
        <v/>
      </c>
      <c r="G27">
        <f>F27+C27</f>
        <v/>
      </c>
      <c r="H27">
        <f>MIN(E27+D27, G27)</f>
        <v/>
      </c>
      <c r="I27">
        <f>E27+D27-H27</f>
        <v/>
      </c>
      <c r="J27">
        <f>G27-H27</f>
        <v/>
      </c>
      <c r="K27">
        <f>I27*Inputs!$B$3</f>
        <v/>
      </c>
      <c r="L27">
        <f>J27*Inputs!$B$4</f>
        <v/>
      </c>
      <c r="M27">
        <f>K27+L27</f>
        <v/>
      </c>
      <c r="N27">
        <f>N26+M27</f>
        <v/>
      </c>
      <c r="P27">
        <f>IF(Inputs!$B$10="Manual", IF(O27="", P26, O27), W27)</f>
        <v/>
      </c>
      <c r="Q27">
        <f>R26</f>
        <v/>
      </c>
      <c r="R27">
        <f>P26</f>
        <v/>
      </c>
      <c r="S27">
        <f>T26</f>
        <v/>
      </c>
      <c r="T27">
        <f>'Distributor'!H26</f>
        <v/>
      </c>
      <c r="U27">
        <f>E27+S27+T27-F27</f>
        <v/>
      </c>
      <c r="V27">
        <f>Inputs!$B$5*Inputs!$B$14</f>
        <v/>
      </c>
      <c r="W27">
        <f>MAX(0, V27-U27)</f>
        <v/>
      </c>
    </row>
    <row r="28">
      <c r="A28" t="n">
        <v>27</v>
      </c>
      <c r="C28">
        <f>'Retailer'!Q28</f>
        <v/>
      </c>
      <c r="D28">
        <f>S28</f>
        <v/>
      </c>
      <c r="E28">
        <f>I27</f>
        <v/>
      </c>
      <c r="F28">
        <f>J27</f>
        <v/>
      </c>
      <c r="G28">
        <f>F28+C28</f>
        <v/>
      </c>
      <c r="H28">
        <f>MIN(E28+D28, G28)</f>
        <v/>
      </c>
      <c r="I28">
        <f>E28+D28-H28</f>
        <v/>
      </c>
      <c r="J28">
        <f>G28-H28</f>
        <v/>
      </c>
      <c r="K28">
        <f>I28*Inputs!$B$3</f>
        <v/>
      </c>
      <c r="L28">
        <f>J28*Inputs!$B$4</f>
        <v/>
      </c>
      <c r="M28">
        <f>K28+L28</f>
        <v/>
      </c>
      <c r="N28">
        <f>N27+M28</f>
        <v/>
      </c>
      <c r="P28">
        <f>IF(Inputs!$B$10="Manual", IF(O28="", P27, O28), W28)</f>
        <v/>
      </c>
      <c r="Q28">
        <f>R27</f>
        <v/>
      </c>
      <c r="R28">
        <f>P27</f>
        <v/>
      </c>
      <c r="S28">
        <f>T27</f>
        <v/>
      </c>
      <c r="T28">
        <f>'Distributor'!H27</f>
        <v/>
      </c>
      <c r="U28">
        <f>E28+S28+T28-F28</f>
        <v/>
      </c>
      <c r="V28">
        <f>Inputs!$B$5*Inputs!$B$14</f>
        <v/>
      </c>
      <c r="W28">
        <f>MAX(0, V28-U28)</f>
        <v/>
      </c>
    </row>
    <row r="29">
      <c r="A29" t="n">
        <v>28</v>
      </c>
      <c r="C29">
        <f>'Retailer'!Q29</f>
        <v/>
      </c>
      <c r="D29">
        <f>S29</f>
        <v/>
      </c>
      <c r="E29">
        <f>I28</f>
        <v/>
      </c>
      <c r="F29">
        <f>J28</f>
        <v/>
      </c>
      <c r="G29">
        <f>F29+C29</f>
        <v/>
      </c>
      <c r="H29">
        <f>MIN(E29+D29, G29)</f>
        <v/>
      </c>
      <c r="I29">
        <f>E29+D29-H29</f>
        <v/>
      </c>
      <c r="J29">
        <f>G29-H29</f>
        <v/>
      </c>
      <c r="K29">
        <f>I29*Inputs!$B$3</f>
        <v/>
      </c>
      <c r="L29">
        <f>J29*Inputs!$B$4</f>
        <v/>
      </c>
      <c r="M29">
        <f>K29+L29</f>
        <v/>
      </c>
      <c r="N29">
        <f>N28+M29</f>
        <v/>
      </c>
      <c r="P29">
        <f>IF(Inputs!$B$10="Manual", IF(O29="", P28, O29), W29)</f>
        <v/>
      </c>
      <c r="Q29">
        <f>R28</f>
        <v/>
      </c>
      <c r="R29">
        <f>P28</f>
        <v/>
      </c>
      <c r="S29">
        <f>T28</f>
        <v/>
      </c>
      <c r="T29">
        <f>'Distributor'!H28</f>
        <v/>
      </c>
      <c r="U29">
        <f>E29+S29+T29-F29</f>
        <v/>
      </c>
      <c r="V29">
        <f>Inputs!$B$5*Inputs!$B$14</f>
        <v/>
      </c>
      <c r="W29">
        <f>MAX(0, V29-U29)</f>
        <v/>
      </c>
    </row>
    <row r="30">
      <c r="A30" t="n">
        <v>29</v>
      </c>
      <c r="C30">
        <f>'Retailer'!Q30</f>
        <v/>
      </c>
      <c r="D30">
        <f>S30</f>
        <v/>
      </c>
      <c r="E30">
        <f>I29</f>
        <v/>
      </c>
      <c r="F30">
        <f>J29</f>
        <v/>
      </c>
      <c r="G30">
        <f>F30+C30</f>
        <v/>
      </c>
      <c r="H30">
        <f>MIN(E30+D30, G30)</f>
        <v/>
      </c>
      <c r="I30">
        <f>E30+D30-H30</f>
        <v/>
      </c>
      <c r="J30">
        <f>G30-H30</f>
        <v/>
      </c>
      <c r="K30">
        <f>I30*Inputs!$B$3</f>
        <v/>
      </c>
      <c r="L30">
        <f>J30*Inputs!$B$4</f>
        <v/>
      </c>
      <c r="M30">
        <f>K30+L30</f>
        <v/>
      </c>
      <c r="N30">
        <f>N29+M30</f>
        <v/>
      </c>
      <c r="P30">
        <f>IF(Inputs!$B$10="Manual", IF(O30="", P29, O30), W30)</f>
        <v/>
      </c>
      <c r="Q30">
        <f>R29</f>
        <v/>
      </c>
      <c r="R30">
        <f>P29</f>
        <v/>
      </c>
      <c r="S30">
        <f>T29</f>
        <v/>
      </c>
      <c r="T30">
        <f>'Distributor'!H29</f>
        <v/>
      </c>
      <c r="U30">
        <f>E30+S30+T30-F30</f>
        <v/>
      </c>
      <c r="V30">
        <f>Inputs!$B$5*Inputs!$B$14</f>
        <v/>
      </c>
      <c r="W30">
        <f>MAX(0, V30-U30)</f>
        <v/>
      </c>
    </row>
    <row r="31">
      <c r="A31" t="n">
        <v>30</v>
      </c>
      <c r="C31">
        <f>'Retailer'!Q31</f>
        <v/>
      </c>
      <c r="D31">
        <f>S31</f>
        <v/>
      </c>
      <c r="E31">
        <f>I30</f>
        <v/>
      </c>
      <c r="F31">
        <f>J30</f>
        <v/>
      </c>
      <c r="G31">
        <f>F31+C31</f>
        <v/>
      </c>
      <c r="H31">
        <f>MIN(E31+D31, G31)</f>
        <v/>
      </c>
      <c r="I31">
        <f>E31+D31-H31</f>
        <v/>
      </c>
      <c r="J31">
        <f>G31-H31</f>
        <v/>
      </c>
      <c r="K31">
        <f>I31*Inputs!$B$3</f>
        <v/>
      </c>
      <c r="L31">
        <f>J31*Inputs!$B$4</f>
        <v/>
      </c>
      <c r="M31">
        <f>K31+L31</f>
        <v/>
      </c>
      <c r="N31">
        <f>N30+M31</f>
        <v/>
      </c>
      <c r="P31">
        <f>IF(Inputs!$B$10="Manual", IF(O31="", P30, O31), W31)</f>
        <v/>
      </c>
      <c r="Q31">
        <f>R30</f>
        <v/>
      </c>
      <c r="R31">
        <f>P30</f>
        <v/>
      </c>
      <c r="S31">
        <f>T30</f>
        <v/>
      </c>
      <c r="T31">
        <f>'Distributor'!H30</f>
        <v/>
      </c>
      <c r="U31">
        <f>E31+S31+T31-F31</f>
        <v/>
      </c>
      <c r="V31">
        <f>Inputs!$B$5*Inputs!$B$14</f>
        <v/>
      </c>
      <c r="W31">
        <f>MAX(0, V31-U31)</f>
        <v/>
      </c>
    </row>
    <row r="32">
      <c r="A32" t="n">
        <v>31</v>
      </c>
      <c r="C32">
        <f>'Retailer'!Q32</f>
        <v/>
      </c>
      <c r="D32">
        <f>S32</f>
        <v/>
      </c>
      <c r="E32">
        <f>I31</f>
        <v/>
      </c>
      <c r="F32">
        <f>J31</f>
        <v/>
      </c>
      <c r="G32">
        <f>F32+C32</f>
        <v/>
      </c>
      <c r="H32">
        <f>MIN(E32+D32, G32)</f>
        <v/>
      </c>
      <c r="I32">
        <f>E32+D32-H32</f>
        <v/>
      </c>
      <c r="J32">
        <f>G32-H32</f>
        <v/>
      </c>
      <c r="K32">
        <f>I32*Inputs!$B$3</f>
        <v/>
      </c>
      <c r="L32">
        <f>J32*Inputs!$B$4</f>
        <v/>
      </c>
      <c r="M32">
        <f>K32+L32</f>
        <v/>
      </c>
      <c r="N32">
        <f>N31+M32</f>
        <v/>
      </c>
      <c r="P32">
        <f>IF(Inputs!$B$10="Manual", IF(O32="", P31, O32), W32)</f>
        <v/>
      </c>
      <c r="Q32">
        <f>R31</f>
        <v/>
      </c>
      <c r="R32">
        <f>P31</f>
        <v/>
      </c>
      <c r="S32">
        <f>T31</f>
        <v/>
      </c>
      <c r="T32">
        <f>'Distributor'!H31</f>
        <v/>
      </c>
      <c r="U32">
        <f>E32+S32+T32-F32</f>
        <v/>
      </c>
      <c r="V32">
        <f>Inputs!$B$5*Inputs!$B$14</f>
        <v/>
      </c>
      <c r="W32">
        <f>MAX(0, V32-U32)</f>
        <v/>
      </c>
    </row>
    <row r="33">
      <c r="A33" t="n">
        <v>32</v>
      </c>
      <c r="C33">
        <f>'Retailer'!Q33</f>
        <v/>
      </c>
      <c r="D33">
        <f>S33</f>
        <v/>
      </c>
      <c r="E33">
        <f>I32</f>
        <v/>
      </c>
      <c r="F33">
        <f>J32</f>
        <v/>
      </c>
      <c r="G33">
        <f>F33+C33</f>
        <v/>
      </c>
      <c r="H33">
        <f>MIN(E33+D33, G33)</f>
        <v/>
      </c>
      <c r="I33">
        <f>E33+D33-H33</f>
        <v/>
      </c>
      <c r="J33">
        <f>G33-H33</f>
        <v/>
      </c>
      <c r="K33">
        <f>I33*Inputs!$B$3</f>
        <v/>
      </c>
      <c r="L33">
        <f>J33*Inputs!$B$4</f>
        <v/>
      </c>
      <c r="M33">
        <f>K33+L33</f>
        <v/>
      </c>
      <c r="N33">
        <f>N32+M33</f>
        <v/>
      </c>
      <c r="P33">
        <f>IF(Inputs!$B$10="Manual", IF(O33="", P32, O33), W33)</f>
        <v/>
      </c>
      <c r="Q33">
        <f>R32</f>
        <v/>
      </c>
      <c r="R33">
        <f>P32</f>
        <v/>
      </c>
      <c r="S33">
        <f>T32</f>
        <v/>
      </c>
      <c r="T33">
        <f>'Distributor'!H32</f>
        <v/>
      </c>
      <c r="U33">
        <f>E33+S33+T33-F33</f>
        <v/>
      </c>
      <c r="V33">
        <f>Inputs!$B$5*Inputs!$B$14</f>
        <v/>
      </c>
      <c r="W33">
        <f>MAX(0, V33-U33)</f>
        <v/>
      </c>
    </row>
    <row r="34">
      <c r="A34" t="n">
        <v>33</v>
      </c>
      <c r="C34">
        <f>'Retailer'!Q34</f>
        <v/>
      </c>
      <c r="D34">
        <f>S34</f>
        <v/>
      </c>
      <c r="E34">
        <f>I33</f>
        <v/>
      </c>
      <c r="F34">
        <f>J33</f>
        <v/>
      </c>
      <c r="G34">
        <f>F34+C34</f>
        <v/>
      </c>
      <c r="H34">
        <f>MIN(E34+D34, G34)</f>
        <v/>
      </c>
      <c r="I34">
        <f>E34+D34-H34</f>
        <v/>
      </c>
      <c r="J34">
        <f>G34-H34</f>
        <v/>
      </c>
      <c r="K34">
        <f>I34*Inputs!$B$3</f>
        <v/>
      </c>
      <c r="L34">
        <f>J34*Inputs!$B$4</f>
        <v/>
      </c>
      <c r="M34">
        <f>K34+L34</f>
        <v/>
      </c>
      <c r="N34">
        <f>N33+M34</f>
        <v/>
      </c>
      <c r="P34">
        <f>IF(Inputs!$B$10="Manual", IF(O34="", P33, O34), W34)</f>
        <v/>
      </c>
      <c r="Q34">
        <f>R33</f>
        <v/>
      </c>
      <c r="R34">
        <f>P33</f>
        <v/>
      </c>
      <c r="S34">
        <f>T33</f>
        <v/>
      </c>
      <c r="T34">
        <f>'Distributor'!H33</f>
        <v/>
      </c>
      <c r="U34">
        <f>E34+S34+T34-F34</f>
        <v/>
      </c>
      <c r="V34">
        <f>Inputs!$B$5*Inputs!$B$14</f>
        <v/>
      </c>
      <c r="W34">
        <f>MAX(0, V34-U34)</f>
        <v/>
      </c>
    </row>
    <row r="35">
      <c r="A35" t="n">
        <v>34</v>
      </c>
      <c r="C35">
        <f>'Retailer'!Q35</f>
        <v/>
      </c>
      <c r="D35">
        <f>S35</f>
        <v/>
      </c>
      <c r="E35">
        <f>I34</f>
        <v/>
      </c>
      <c r="F35">
        <f>J34</f>
        <v/>
      </c>
      <c r="G35">
        <f>F35+C35</f>
        <v/>
      </c>
      <c r="H35">
        <f>MIN(E35+D35, G35)</f>
        <v/>
      </c>
      <c r="I35">
        <f>E35+D35-H35</f>
        <v/>
      </c>
      <c r="J35">
        <f>G35-H35</f>
        <v/>
      </c>
      <c r="K35">
        <f>I35*Inputs!$B$3</f>
        <v/>
      </c>
      <c r="L35">
        <f>J35*Inputs!$B$4</f>
        <v/>
      </c>
      <c r="M35">
        <f>K35+L35</f>
        <v/>
      </c>
      <c r="N35">
        <f>N34+M35</f>
        <v/>
      </c>
      <c r="P35">
        <f>IF(Inputs!$B$10="Manual", IF(O35="", P34, O35), W35)</f>
        <v/>
      </c>
      <c r="Q35">
        <f>R34</f>
        <v/>
      </c>
      <c r="R35">
        <f>P34</f>
        <v/>
      </c>
      <c r="S35">
        <f>T34</f>
        <v/>
      </c>
      <c r="T35">
        <f>'Distributor'!H34</f>
        <v/>
      </c>
      <c r="U35">
        <f>E35+S35+T35-F35</f>
        <v/>
      </c>
      <c r="V35">
        <f>Inputs!$B$5*Inputs!$B$14</f>
        <v/>
      </c>
      <c r="W35">
        <f>MAX(0, V35-U35)</f>
        <v/>
      </c>
    </row>
    <row r="36">
      <c r="A36" t="n">
        <v>35</v>
      </c>
      <c r="C36">
        <f>'Retailer'!Q36</f>
        <v/>
      </c>
      <c r="D36">
        <f>S36</f>
        <v/>
      </c>
      <c r="E36">
        <f>I35</f>
        <v/>
      </c>
      <c r="F36">
        <f>J35</f>
        <v/>
      </c>
      <c r="G36">
        <f>F36+C36</f>
        <v/>
      </c>
      <c r="H36">
        <f>MIN(E36+D36, G36)</f>
        <v/>
      </c>
      <c r="I36">
        <f>E36+D36-H36</f>
        <v/>
      </c>
      <c r="J36">
        <f>G36-H36</f>
        <v/>
      </c>
      <c r="K36">
        <f>I36*Inputs!$B$3</f>
        <v/>
      </c>
      <c r="L36">
        <f>J36*Inputs!$B$4</f>
        <v/>
      </c>
      <c r="M36">
        <f>K36+L36</f>
        <v/>
      </c>
      <c r="N36">
        <f>N35+M36</f>
        <v/>
      </c>
      <c r="P36">
        <f>IF(Inputs!$B$10="Manual", IF(O36="", P35, O36), W36)</f>
        <v/>
      </c>
      <c r="Q36">
        <f>R35</f>
        <v/>
      </c>
      <c r="R36">
        <f>P35</f>
        <v/>
      </c>
      <c r="S36">
        <f>T35</f>
        <v/>
      </c>
      <c r="T36">
        <f>'Distributor'!H35</f>
        <v/>
      </c>
      <c r="U36">
        <f>E36+S36+T36-F36</f>
        <v/>
      </c>
      <c r="V36">
        <f>Inputs!$B$5*Inputs!$B$14</f>
        <v/>
      </c>
      <c r="W36">
        <f>MAX(0, V36-U36)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C2">
        <f>'Wholesaler'!Q2</f>
        <v/>
      </c>
      <c r="D2">
        <f>S2</f>
        <v/>
      </c>
      <c r="E2">
        <f>Inputs!$B$18</f>
        <v/>
      </c>
      <c r="F2" t="n">
        <v>0</v>
      </c>
      <c r="G2">
        <f>F2+C2</f>
        <v/>
      </c>
      <c r="H2">
        <f>MIN(E2+D2, G2)</f>
        <v/>
      </c>
      <c r="I2">
        <f>E2+D2-H2</f>
        <v/>
      </c>
      <c r="J2">
        <f>G2-H2</f>
        <v/>
      </c>
      <c r="K2">
        <f>I2*Inputs!$B$3</f>
        <v/>
      </c>
      <c r="L2">
        <f>J2*Inputs!$B$4</f>
        <v/>
      </c>
      <c r="M2">
        <f>K2+L2</f>
        <v/>
      </c>
      <c r="N2">
        <f>M2</f>
        <v/>
      </c>
      <c r="P2">
        <f>IF(Inputs!$B$10="Manual", IF(O2="", Inputs!$B$23, O2), W2)</f>
        <v/>
      </c>
      <c r="Q2">
        <f>Inputs!$B$21</f>
        <v/>
      </c>
      <c r="R2">
        <f>Inputs!$B$22</f>
        <v/>
      </c>
      <c r="S2">
        <f>Inputs!$B$19</f>
        <v/>
      </c>
      <c r="T2">
        <f>Inputs!$B$20</f>
        <v/>
      </c>
      <c r="U2">
        <f>E2+S2+T2-F2</f>
        <v/>
      </c>
      <c r="V2">
        <f>Inputs!$B$5*Inputs!$B$15</f>
        <v/>
      </c>
      <c r="W2">
        <f>MAX(0, V2-U2)</f>
        <v/>
      </c>
    </row>
    <row r="3">
      <c r="A3" t="n">
        <v>2</v>
      </c>
      <c r="C3">
        <f>'Wholesaler'!Q3</f>
        <v/>
      </c>
      <c r="D3">
        <f>S3</f>
        <v/>
      </c>
      <c r="E3">
        <f>I2</f>
        <v/>
      </c>
      <c r="F3">
        <f>J2</f>
        <v/>
      </c>
      <c r="G3">
        <f>F3+C3</f>
        <v/>
      </c>
      <c r="H3">
        <f>MIN(E3+D3, G3)</f>
        <v/>
      </c>
      <c r="I3">
        <f>E3+D3-H3</f>
        <v/>
      </c>
      <c r="J3">
        <f>G3-H3</f>
        <v/>
      </c>
      <c r="K3">
        <f>I3*Inputs!$B$3</f>
        <v/>
      </c>
      <c r="L3">
        <f>J3*Inputs!$B$4</f>
        <v/>
      </c>
      <c r="M3">
        <f>K3+L3</f>
        <v/>
      </c>
      <c r="N3">
        <f>N2+M3</f>
        <v/>
      </c>
      <c r="P3">
        <f>IF(Inputs!$B$10="Manual", IF(O3="", P2, O3), W3)</f>
        <v/>
      </c>
      <c r="Q3">
        <f>R2</f>
        <v/>
      </c>
      <c r="R3">
        <f>P2</f>
        <v/>
      </c>
      <c r="S3">
        <f>T2</f>
        <v/>
      </c>
      <c r="T3">
        <f>'Factory'!H2</f>
        <v/>
      </c>
      <c r="U3">
        <f>E3+S3+T3-F3</f>
        <v/>
      </c>
      <c r="V3">
        <f>Inputs!$B$5*Inputs!$B$15</f>
        <v/>
      </c>
      <c r="W3">
        <f>MAX(0, V3-U3)</f>
        <v/>
      </c>
    </row>
    <row r="4">
      <c r="A4" t="n">
        <v>3</v>
      </c>
      <c r="C4">
        <f>'Wholesaler'!Q4</f>
        <v/>
      </c>
      <c r="D4">
        <f>S4</f>
        <v/>
      </c>
      <c r="E4">
        <f>I3</f>
        <v/>
      </c>
      <c r="F4">
        <f>J3</f>
        <v/>
      </c>
      <c r="G4">
        <f>F4+C4</f>
        <v/>
      </c>
      <c r="H4">
        <f>MIN(E4+D4, G4)</f>
        <v/>
      </c>
      <c r="I4">
        <f>E4+D4-H4</f>
        <v/>
      </c>
      <c r="J4">
        <f>G4-H4</f>
        <v/>
      </c>
      <c r="K4">
        <f>I4*Inputs!$B$3</f>
        <v/>
      </c>
      <c r="L4">
        <f>J4*Inputs!$B$4</f>
        <v/>
      </c>
      <c r="M4">
        <f>K4+L4</f>
        <v/>
      </c>
      <c r="N4">
        <f>N3+M4</f>
        <v/>
      </c>
      <c r="P4">
        <f>IF(Inputs!$B$10="Manual", IF(O4="", P3, O4), W4)</f>
        <v/>
      </c>
      <c r="Q4">
        <f>R3</f>
        <v/>
      </c>
      <c r="R4">
        <f>P3</f>
        <v/>
      </c>
      <c r="S4">
        <f>T3</f>
        <v/>
      </c>
      <c r="T4">
        <f>'Factory'!H3</f>
        <v/>
      </c>
      <c r="U4">
        <f>E4+S4+T4-F4</f>
        <v/>
      </c>
      <c r="V4">
        <f>Inputs!$B$5*Inputs!$B$15</f>
        <v/>
      </c>
      <c r="W4">
        <f>MAX(0, V4-U4)</f>
        <v/>
      </c>
    </row>
    <row r="5">
      <c r="A5" t="n">
        <v>4</v>
      </c>
      <c r="C5">
        <f>'Wholesaler'!Q5</f>
        <v/>
      </c>
      <c r="D5">
        <f>S5</f>
        <v/>
      </c>
      <c r="E5">
        <f>I4</f>
        <v/>
      </c>
      <c r="F5">
        <f>J4</f>
        <v/>
      </c>
      <c r="G5">
        <f>F5+C5</f>
        <v/>
      </c>
      <c r="H5">
        <f>MIN(E5+D5, G5)</f>
        <v/>
      </c>
      <c r="I5">
        <f>E5+D5-H5</f>
        <v/>
      </c>
      <c r="J5">
        <f>G5-H5</f>
        <v/>
      </c>
      <c r="K5">
        <f>I5*Inputs!$B$3</f>
        <v/>
      </c>
      <c r="L5">
        <f>J5*Inputs!$B$4</f>
        <v/>
      </c>
      <c r="M5">
        <f>K5+L5</f>
        <v/>
      </c>
      <c r="N5">
        <f>N4+M5</f>
        <v/>
      </c>
      <c r="P5">
        <f>IF(Inputs!$B$10="Manual", IF(O5="", P4, O5), W5)</f>
        <v/>
      </c>
      <c r="Q5">
        <f>R4</f>
        <v/>
      </c>
      <c r="R5">
        <f>P4</f>
        <v/>
      </c>
      <c r="S5">
        <f>T4</f>
        <v/>
      </c>
      <c r="T5">
        <f>'Factory'!H4</f>
        <v/>
      </c>
      <c r="U5">
        <f>E5+S5+T5-F5</f>
        <v/>
      </c>
      <c r="V5">
        <f>Inputs!$B$5*Inputs!$B$15</f>
        <v/>
      </c>
      <c r="W5">
        <f>MAX(0, V5-U5)</f>
        <v/>
      </c>
    </row>
    <row r="6">
      <c r="A6" t="n">
        <v>5</v>
      </c>
      <c r="C6">
        <f>'Wholesaler'!Q6</f>
        <v/>
      </c>
      <c r="D6">
        <f>S6</f>
        <v/>
      </c>
      <c r="E6">
        <f>I5</f>
        <v/>
      </c>
      <c r="F6">
        <f>J5</f>
        <v/>
      </c>
      <c r="G6">
        <f>F6+C6</f>
        <v/>
      </c>
      <c r="H6">
        <f>MIN(E6+D6, G6)</f>
        <v/>
      </c>
      <c r="I6">
        <f>E6+D6-H6</f>
        <v/>
      </c>
      <c r="J6">
        <f>G6-H6</f>
        <v/>
      </c>
      <c r="K6">
        <f>I6*Inputs!$B$3</f>
        <v/>
      </c>
      <c r="L6">
        <f>J6*Inputs!$B$4</f>
        <v/>
      </c>
      <c r="M6">
        <f>K6+L6</f>
        <v/>
      </c>
      <c r="N6">
        <f>N5+M6</f>
        <v/>
      </c>
      <c r="P6">
        <f>IF(Inputs!$B$10="Manual", IF(O6="", P5, O6), W6)</f>
        <v/>
      </c>
      <c r="Q6">
        <f>R5</f>
        <v/>
      </c>
      <c r="R6">
        <f>P5</f>
        <v/>
      </c>
      <c r="S6">
        <f>T5</f>
        <v/>
      </c>
      <c r="T6">
        <f>'Factory'!H5</f>
        <v/>
      </c>
      <c r="U6">
        <f>E6+S6+T6-F6</f>
        <v/>
      </c>
      <c r="V6">
        <f>Inputs!$B$5*Inputs!$B$15</f>
        <v/>
      </c>
      <c r="W6">
        <f>MAX(0, V6-U6)</f>
        <v/>
      </c>
    </row>
    <row r="7">
      <c r="A7" t="n">
        <v>6</v>
      </c>
      <c r="C7">
        <f>'Wholesaler'!Q7</f>
        <v/>
      </c>
      <c r="D7">
        <f>S7</f>
        <v/>
      </c>
      <c r="E7">
        <f>I6</f>
        <v/>
      </c>
      <c r="F7">
        <f>J6</f>
        <v/>
      </c>
      <c r="G7">
        <f>F7+C7</f>
        <v/>
      </c>
      <c r="H7">
        <f>MIN(E7+D7, G7)</f>
        <v/>
      </c>
      <c r="I7">
        <f>E7+D7-H7</f>
        <v/>
      </c>
      <c r="J7">
        <f>G7-H7</f>
        <v/>
      </c>
      <c r="K7">
        <f>I7*Inputs!$B$3</f>
        <v/>
      </c>
      <c r="L7">
        <f>J7*Inputs!$B$4</f>
        <v/>
      </c>
      <c r="M7">
        <f>K7+L7</f>
        <v/>
      </c>
      <c r="N7">
        <f>N6+M7</f>
        <v/>
      </c>
      <c r="P7">
        <f>IF(Inputs!$B$10="Manual", IF(O7="", P6, O7), W7)</f>
        <v/>
      </c>
      <c r="Q7">
        <f>R6</f>
        <v/>
      </c>
      <c r="R7">
        <f>P6</f>
        <v/>
      </c>
      <c r="S7">
        <f>T6</f>
        <v/>
      </c>
      <c r="T7">
        <f>'Factory'!H6</f>
        <v/>
      </c>
      <c r="U7">
        <f>E7+S7+T7-F7</f>
        <v/>
      </c>
      <c r="V7">
        <f>Inputs!$B$5*Inputs!$B$15</f>
        <v/>
      </c>
      <c r="W7">
        <f>MAX(0, V7-U7)</f>
        <v/>
      </c>
    </row>
    <row r="8">
      <c r="A8" t="n">
        <v>7</v>
      </c>
      <c r="C8">
        <f>'Wholesaler'!Q8</f>
        <v/>
      </c>
      <c r="D8">
        <f>S8</f>
        <v/>
      </c>
      <c r="E8">
        <f>I7</f>
        <v/>
      </c>
      <c r="F8">
        <f>J7</f>
        <v/>
      </c>
      <c r="G8">
        <f>F8+C8</f>
        <v/>
      </c>
      <c r="H8">
        <f>MIN(E8+D8, G8)</f>
        <v/>
      </c>
      <c r="I8">
        <f>E8+D8-H8</f>
        <v/>
      </c>
      <c r="J8">
        <f>G8-H8</f>
        <v/>
      </c>
      <c r="K8">
        <f>I8*Inputs!$B$3</f>
        <v/>
      </c>
      <c r="L8">
        <f>J8*Inputs!$B$4</f>
        <v/>
      </c>
      <c r="M8">
        <f>K8+L8</f>
        <v/>
      </c>
      <c r="N8">
        <f>N7+M8</f>
        <v/>
      </c>
      <c r="P8">
        <f>IF(Inputs!$B$10="Manual", IF(O8="", P7, O8), W8)</f>
        <v/>
      </c>
      <c r="Q8">
        <f>R7</f>
        <v/>
      </c>
      <c r="R8">
        <f>P7</f>
        <v/>
      </c>
      <c r="S8">
        <f>T7</f>
        <v/>
      </c>
      <c r="T8">
        <f>'Factory'!H7</f>
        <v/>
      </c>
      <c r="U8">
        <f>E8+S8+T8-F8</f>
        <v/>
      </c>
      <c r="V8">
        <f>Inputs!$B$5*Inputs!$B$15</f>
        <v/>
      </c>
      <c r="W8">
        <f>MAX(0, V8-U8)</f>
        <v/>
      </c>
    </row>
    <row r="9">
      <c r="A9" t="n">
        <v>8</v>
      </c>
      <c r="C9">
        <f>'Wholesaler'!Q9</f>
        <v/>
      </c>
      <c r="D9">
        <f>S9</f>
        <v/>
      </c>
      <c r="E9">
        <f>I8</f>
        <v/>
      </c>
      <c r="F9">
        <f>J8</f>
        <v/>
      </c>
      <c r="G9">
        <f>F9+C9</f>
        <v/>
      </c>
      <c r="H9">
        <f>MIN(E9+D9, G9)</f>
        <v/>
      </c>
      <c r="I9">
        <f>E9+D9-H9</f>
        <v/>
      </c>
      <c r="J9">
        <f>G9-H9</f>
        <v/>
      </c>
      <c r="K9">
        <f>I9*Inputs!$B$3</f>
        <v/>
      </c>
      <c r="L9">
        <f>J9*Inputs!$B$4</f>
        <v/>
      </c>
      <c r="M9">
        <f>K9+L9</f>
        <v/>
      </c>
      <c r="N9">
        <f>N8+M9</f>
        <v/>
      </c>
      <c r="P9">
        <f>IF(Inputs!$B$10="Manual", IF(O9="", P8, O9), W9)</f>
        <v/>
      </c>
      <c r="Q9">
        <f>R8</f>
        <v/>
      </c>
      <c r="R9">
        <f>P8</f>
        <v/>
      </c>
      <c r="S9">
        <f>T8</f>
        <v/>
      </c>
      <c r="T9">
        <f>'Factory'!H8</f>
        <v/>
      </c>
      <c r="U9">
        <f>E9+S9+T9-F9</f>
        <v/>
      </c>
      <c r="V9">
        <f>Inputs!$B$5*Inputs!$B$15</f>
        <v/>
      </c>
      <c r="W9">
        <f>MAX(0, V9-U9)</f>
        <v/>
      </c>
    </row>
    <row r="10">
      <c r="A10" t="n">
        <v>9</v>
      </c>
      <c r="C10">
        <f>'Wholesaler'!Q10</f>
        <v/>
      </c>
      <c r="D10">
        <f>S10</f>
        <v/>
      </c>
      <c r="E10">
        <f>I9</f>
        <v/>
      </c>
      <c r="F10">
        <f>J9</f>
        <v/>
      </c>
      <c r="G10">
        <f>F10+C10</f>
        <v/>
      </c>
      <c r="H10">
        <f>MIN(E10+D10, G10)</f>
        <v/>
      </c>
      <c r="I10">
        <f>E10+D10-H10</f>
        <v/>
      </c>
      <c r="J10">
        <f>G10-H10</f>
        <v/>
      </c>
      <c r="K10">
        <f>I10*Inputs!$B$3</f>
        <v/>
      </c>
      <c r="L10">
        <f>J10*Inputs!$B$4</f>
        <v/>
      </c>
      <c r="M10">
        <f>K10+L10</f>
        <v/>
      </c>
      <c r="N10">
        <f>N9+M10</f>
        <v/>
      </c>
      <c r="P10">
        <f>IF(Inputs!$B$10="Manual", IF(O10="", P9, O10), W10)</f>
        <v/>
      </c>
      <c r="Q10">
        <f>R9</f>
        <v/>
      </c>
      <c r="R10">
        <f>P9</f>
        <v/>
      </c>
      <c r="S10">
        <f>T9</f>
        <v/>
      </c>
      <c r="T10">
        <f>'Factory'!H9</f>
        <v/>
      </c>
      <c r="U10">
        <f>E10+S10+T10-F10</f>
        <v/>
      </c>
      <c r="V10">
        <f>Inputs!$B$5*Inputs!$B$15</f>
        <v/>
      </c>
      <c r="W10">
        <f>MAX(0, V10-U10)</f>
        <v/>
      </c>
    </row>
    <row r="11">
      <c r="A11" t="n">
        <v>10</v>
      </c>
      <c r="C11">
        <f>'Wholesaler'!Q11</f>
        <v/>
      </c>
      <c r="D11">
        <f>S11</f>
        <v/>
      </c>
      <c r="E11">
        <f>I10</f>
        <v/>
      </c>
      <c r="F11">
        <f>J10</f>
        <v/>
      </c>
      <c r="G11">
        <f>F11+C11</f>
        <v/>
      </c>
      <c r="H11">
        <f>MIN(E11+D11, G11)</f>
        <v/>
      </c>
      <c r="I11">
        <f>E11+D11-H11</f>
        <v/>
      </c>
      <c r="J11">
        <f>G11-H11</f>
        <v/>
      </c>
      <c r="K11">
        <f>I11*Inputs!$B$3</f>
        <v/>
      </c>
      <c r="L11">
        <f>J11*Inputs!$B$4</f>
        <v/>
      </c>
      <c r="M11">
        <f>K11+L11</f>
        <v/>
      </c>
      <c r="N11">
        <f>N10+M11</f>
        <v/>
      </c>
      <c r="P11">
        <f>IF(Inputs!$B$10="Manual", IF(O11="", P10, O11), W11)</f>
        <v/>
      </c>
      <c r="Q11">
        <f>R10</f>
        <v/>
      </c>
      <c r="R11">
        <f>P10</f>
        <v/>
      </c>
      <c r="S11">
        <f>T10</f>
        <v/>
      </c>
      <c r="T11">
        <f>'Factory'!H10</f>
        <v/>
      </c>
      <c r="U11">
        <f>E11+S11+T11-F11</f>
        <v/>
      </c>
      <c r="V11">
        <f>Inputs!$B$5*Inputs!$B$15</f>
        <v/>
      </c>
      <c r="W11">
        <f>MAX(0, V11-U11)</f>
        <v/>
      </c>
    </row>
    <row r="12">
      <c r="A12" t="n">
        <v>11</v>
      </c>
      <c r="C12">
        <f>'Wholesaler'!Q12</f>
        <v/>
      </c>
      <c r="D12">
        <f>S12</f>
        <v/>
      </c>
      <c r="E12">
        <f>I11</f>
        <v/>
      </c>
      <c r="F12">
        <f>J11</f>
        <v/>
      </c>
      <c r="G12">
        <f>F12+C12</f>
        <v/>
      </c>
      <c r="H12">
        <f>MIN(E12+D12, G12)</f>
        <v/>
      </c>
      <c r="I12">
        <f>E12+D12-H12</f>
        <v/>
      </c>
      <c r="J12">
        <f>G12-H12</f>
        <v/>
      </c>
      <c r="K12">
        <f>I12*Inputs!$B$3</f>
        <v/>
      </c>
      <c r="L12">
        <f>J12*Inputs!$B$4</f>
        <v/>
      </c>
      <c r="M12">
        <f>K12+L12</f>
        <v/>
      </c>
      <c r="N12">
        <f>N11+M12</f>
        <v/>
      </c>
      <c r="P12">
        <f>IF(Inputs!$B$10="Manual", IF(O12="", P11, O12), W12)</f>
        <v/>
      </c>
      <c r="Q12">
        <f>R11</f>
        <v/>
      </c>
      <c r="R12">
        <f>P11</f>
        <v/>
      </c>
      <c r="S12">
        <f>T11</f>
        <v/>
      </c>
      <c r="T12">
        <f>'Factory'!H11</f>
        <v/>
      </c>
      <c r="U12">
        <f>E12+S12+T12-F12</f>
        <v/>
      </c>
      <c r="V12">
        <f>Inputs!$B$5*Inputs!$B$15</f>
        <v/>
      </c>
      <c r="W12">
        <f>MAX(0, V12-U12)</f>
        <v/>
      </c>
    </row>
    <row r="13">
      <c r="A13" t="n">
        <v>12</v>
      </c>
      <c r="C13">
        <f>'Wholesaler'!Q13</f>
        <v/>
      </c>
      <c r="D13">
        <f>S13</f>
        <v/>
      </c>
      <c r="E13">
        <f>I12</f>
        <v/>
      </c>
      <c r="F13">
        <f>J12</f>
        <v/>
      </c>
      <c r="G13">
        <f>F13+C13</f>
        <v/>
      </c>
      <c r="H13">
        <f>MIN(E13+D13, G13)</f>
        <v/>
      </c>
      <c r="I13">
        <f>E13+D13-H13</f>
        <v/>
      </c>
      <c r="J13">
        <f>G13-H13</f>
        <v/>
      </c>
      <c r="K13">
        <f>I13*Inputs!$B$3</f>
        <v/>
      </c>
      <c r="L13">
        <f>J13*Inputs!$B$4</f>
        <v/>
      </c>
      <c r="M13">
        <f>K13+L13</f>
        <v/>
      </c>
      <c r="N13">
        <f>N12+M13</f>
        <v/>
      </c>
      <c r="P13">
        <f>IF(Inputs!$B$10="Manual", IF(O13="", P12, O13), W13)</f>
        <v/>
      </c>
      <c r="Q13">
        <f>R12</f>
        <v/>
      </c>
      <c r="R13">
        <f>P12</f>
        <v/>
      </c>
      <c r="S13">
        <f>T12</f>
        <v/>
      </c>
      <c r="T13">
        <f>'Factory'!H12</f>
        <v/>
      </c>
      <c r="U13">
        <f>E13+S13+T13-F13</f>
        <v/>
      </c>
      <c r="V13">
        <f>Inputs!$B$5*Inputs!$B$15</f>
        <v/>
      </c>
      <c r="W13">
        <f>MAX(0, V13-U13)</f>
        <v/>
      </c>
    </row>
    <row r="14">
      <c r="A14" t="n">
        <v>13</v>
      </c>
      <c r="C14">
        <f>'Wholesaler'!Q14</f>
        <v/>
      </c>
      <c r="D14">
        <f>S14</f>
        <v/>
      </c>
      <c r="E14">
        <f>I13</f>
        <v/>
      </c>
      <c r="F14">
        <f>J13</f>
        <v/>
      </c>
      <c r="G14">
        <f>F14+C14</f>
        <v/>
      </c>
      <c r="H14">
        <f>MIN(E14+D14, G14)</f>
        <v/>
      </c>
      <c r="I14">
        <f>E14+D14-H14</f>
        <v/>
      </c>
      <c r="J14">
        <f>G14-H14</f>
        <v/>
      </c>
      <c r="K14">
        <f>I14*Inputs!$B$3</f>
        <v/>
      </c>
      <c r="L14">
        <f>J14*Inputs!$B$4</f>
        <v/>
      </c>
      <c r="M14">
        <f>K14+L14</f>
        <v/>
      </c>
      <c r="N14">
        <f>N13+M14</f>
        <v/>
      </c>
      <c r="P14">
        <f>IF(Inputs!$B$10="Manual", IF(O14="", P13, O14), W14)</f>
        <v/>
      </c>
      <c r="Q14">
        <f>R13</f>
        <v/>
      </c>
      <c r="R14">
        <f>P13</f>
        <v/>
      </c>
      <c r="S14">
        <f>T13</f>
        <v/>
      </c>
      <c r="T14">
        <f>'Factory'!H13</f>
        <v/>
      </c>
      <c r="U14">
        <f>E14+S14+T14-F14</f>
        <v/>
      </c>
      <c r="V14">
        <f>Inputs!$B$5*Inputs!$B$15</f>
        <v/>
      </c>
      <c r="W14">
        <f>MAX(0, V14-U14)</f>
        <v/>
      </c>
    </row>
    <row r="15">
      <c r="A15" t="n">
        <v>14</v>
      </c>
      <c r="C15">
        <f>'Wholesaler'!Q15</f>
        <v/>
      </c>
      <c r="D15">
        <f>S15</f>
        <v/>
      </c>
      <c r="E15">
        <f>I14</f>
        <v/>
      </c>
      <c r="F15">
        <f>J14</f>
        <v/>
      </c>
      <c r="G15">
        <f>F15+C15</f>
        <v/>
      </c>
      <c r="H15">
        <f>MIN(E15+D15, G15)</f>
        <v/>
      </c>
      <c r="I15">
        <f>E15+D15-H15</f>
        <v/>
      </c>
      <c r="J15">
        <f>G15-H15</f>
        <v/>
      </c>
      <c r="K15">
        <f>I15*Inputs!$B$3</f>
        <v/>
      </c>
      <c r="L15">
        <f>J15*Inputs!$B$4</f>
        <v/>
      </c>
      <c r="M15">
        <f>K15+L15</f>
        <v/>
      </c>
      <c r="N15">
        <f>N14+M15</f>
        <v/>
      </c>
      <c r="P15">
        <f>IF(Inputs!$B$10="Manual", IF(O15="", P14, O15), W15)</f>
        <v/>
      </c>
      <c r="Q15">
        <f>R14</f>
        <v/>
      </c>
      <c r="R15">
        <f>P14</f>
        <v/>
      </c>
      <c r="S15">
        <f>T14</f>
        <v/>
      </c>
      <c r="T15">
        <f>'Factory'!H14</f>
        <v/>
      </c>
      <c r="U15">
        <f>E15+S15+T15-F15</f>
        <v/>
      </c>
      <c r="V15">
        <f>Inputs!$B$5*Inputs!$B$15</f>
        <v/>
      </c>
      <c r="W15">
        <f>MAX(0, V15-U15)</f>
        <v/>
      </c>
    </row>
    <row r="16">
      <c r="A16" t="n">
        <v>15</v>
      </c>
      <c r="C16">
        <f>'Wholesaler'!Q16</f>
        <v/>
      </c>
      <c r="D16">
        <f>S16</f>
        <v/>
      </c>
      <c r="E16">
        <f>I15</f>
        <v/>
      </c>
      <c r="F16">
        <f>J15</f>
        <v/>
      </c>
      <c r="G16">
        <f>F16+C16</f>
        <v/>
      </c>
      <c r="H16">
        <f>MIN(E16+D16, G16)</f>
        <v/>
      </c>
      <c r="I16">
        <f>E16+D16-H16</f>
        <v/>
      </c>
      <c r="J16">
        <f>G16-H16</f>
        <v/>
      </c>
      <c r="K16">
        <f>I16*Inputs!$B$3</f>
        <v/>
      </c>
      <c r="L16">
        <f>J16*Inputs!$B$4</f>
        <v/>
      </c>
      <c r="M16">
        <f>K16+L16</f>
        <v/>
      </c>
      <c r="N16">
        <f>N15+M16</f>
        <v/>
      </c>
      <c r="P16">
        <f>IF(Inputs!$B$10="Manual", IF(O16="", P15, O16), W16)</f>
        <v/>
      </c>
      <c r="Q16">
        <f>R15</f>
        <v/>
      </c>
      <c r="R16">
        <f>P15</f>
        <v/>
      </c>
      <c r="S16">
        <f>T15</f>
        <v/>
      </c>
      <c r="T16">
        <f>'Factory'!H15</f>
        <v/>
      </c>
      <c r="U16">
        <f>E16+S16+T16-F16</f>
        <v/>
      </c>
      <c r="V16">
        <f>Inputs!$B$5*Inputs!$B$15</f>
        <v/>
      </c>
      <c r="W16">
        <f>MAX(0, V16-U16)</f>
        <v/>
      </c>
    </row>
    <row r="17">
      <c r="A17" t="n">
        <v>16</v>
      </c>
      <c r="C17">
        <f>'Wholesaler'!Q17</f>
        <v/>
      </c>
      <c r="D17">
        <f>S17</f>
        <v/>
      </c>
      <c r="E17">
        <f>I16</f>
        <v/>
      </c>
      <c r="F17">
        <f>J16</f>
        <v/>
      </c>
      <c r="G17">
        <f>F17+C17</f>
        <v/>
      </c>
      <c r="H17">
        <f>MIN(E17+D17, G17)</f>
        <v/>
      </c>
      <c r="I17">
        <f>E17+D17-H17</f>
        <v/>
      </c>
      <c r="J17">
        <f>G17-H17</f>
        <v/>
      </c>
      <c r="K17">
        <f>I17*Inputs!$B$3</f>
        <v/>
      </c>
      <c r="L17">
        <f>J17*Inputs!$B$4</f>
        <v/>
      </c>
      <c r="M17">
        <f>K17+L17</f>
        <v/>
      </c>
      <c r="N17">
        <f>N16+M17</f>
        <v/>
      </c>
      <c r="P17">
        <f>IF(Inputs!$B$10="Manual", IF(O17="", P16, O17), W17)</f>
        <v/>
      </c>
      <c r="Q17">
        <f>R16</f>
        <v/>
      </c>
      <c r="R17">
        <f>P16</f>
        <v/>
      </c>
      <c r="S17">
        <f>T16</f>
        <v/>
      </c>
      <c r="T17">
        <f>'Factory'!H16</f>
        <v/>
      </c>
      <c r="U17">
        <f>E17+S17+T17-F17</f>
        <v/>
      </c>
      <c r="V17">
        <f>Inputs!$B$5*Inputs!$B$15</f>
        <v/>
      </c>
      <c r="W17">
        <f>MAX(0, V17-U17)</f>
        <v/>
      </c>
    </row>
    <row r="18">
      <c r="A18" t="n">
        <v>17</v>
      </c>
      <c r="C18">
        <f>'Wholesaler'!Q18</f>
        <v/>
      </c>
      <c r="D18">
        <f>S18</f>
        <v/>
      </c>
      <c r="E18">
        <f>I17</f>
        <v/>
      </c>
      <c r="F18">
        <f>J17</f>
        <v/>
      </c>
      <c r="G18">
        <f>F18+C18</f>
        <v/>
      </c>
      <c r="H18">
        <f>MIN(E18+D18, G18)</f>
        <v/>
      </c>
      <c r="I18">
        <f>E18+D18-H18</f>
        <v/>
      </c>
      <c r="J18">
        <f>G18-H18</f>
        <v/>
      </c>
      <c r="K18">
        <f>I18*Inputs!$B$3</f>
        <v/>
      </c>
      <c r="L18">
        <f>J18*Inputs!$B$4</f>
        <v/>
      </c>
      <c r="M18">
        <f>K18+L18</f>
        <v/>
      </c>
      <c r="N18">
        <f>N17+M18</f>
        <v/>
      </c>
      <c r="P18">
        <f>IF(Inputs!$B$10="Manual", IF(O18="", P17, O18), W18)</f>
        <v/>
      </c>
      <c r="Q18">
        <f>R17</f>
        <v/>
      </c>
      <c r="R18">
        <f>P17</f>
        <v/>
      </c>
      <c r="S18">
        <f>T17</f>
        <v/>
      </c>
      <c r="T18">
        <f>'Factory'!H17</f>
        <v/>
      </c>
      <c r="U18">
        <f>E18+S18+T18-F18</f>
        <v/>
      </c>
      <c r="V18">
        <f>Inputs!$B$5*Inputs!$B$15</f>
        <v/>
      </c>
      <c r="W18">
        <f>MAX(0, V18-U18)</f>
        <v/>
      </c>
    </row>
    <row r="19">
      <c r="A19" t="n">
        <v>18</v>
      </c>
      <c r="C19">
        <f>'Wholesaler'!Q19</f>
        <v/>
      </c>
      <c r="D19">
        <f>S19</f>
        <v/>
      </c>
      <c r="E19">
        <f>I18</f>
        <v/>
      </c>
      <c r="F19">
        <f>J18</f>
        <v/>
      </c>
      <c r="G19">
        <f>F19+C19</f>
        <v/>
      </c>
      <c r="H19">
        <f>MIN(E19+D19, G19)</f>
        <v/>
      </c>
      <c r="I19">
        <f>E19+D19-H19</f>
        <v/>
      </c>
      <c r="J19">
        <f>G19-H19</f>
        <v/>
      </c>
      <c r="K19">
        <f>I19*Inputs!$B$3</f>
        <v/>
      </c>
      <c r="L19">
        <f>J19*Inputs!$B$4</f>
        <v/>
      </c>
      <c r="M19">
        <f>K19+L19</f>
        <v/>
      </c>
      <c r="N19">
        <f>N18+M19</f>
        <v/>
      </c>
      <c r="P19">
        <f>IF(Inputs!$B$10="Manual", IF(O19="", P18, O19), W19)</f>
        <v/>
      </c>
      <c r="Q19">
        <f>R18</f>
        <v/>
      </c>
      <c r="R19">
        <f>P18</f>
        <v/>
      </c>
      <c r="S19">
        <f>T18</f>
        <v/>
      </c>
      <c r="T19">
        <f>'Factory'!H18</f>
        <v/>
      </c>
      <c r="U19">
        <f>E19+S19+T19-F19</f>
        <v/>
      </c>
      <c r="V19">
        <f>Inputs!$B$5*Inputs!$B$15</f>
        <v/>
      </c>
      <c r="W19">
        <f>MAX(0, V19-U19)</f>
        <v/>
      </c>
    </row>
    <row r="20">
      <c r="A20" t="n">
        <v>19</v>
      </c>
      <c r="C20">
        <f>'Wholesaler'!Q20</f>
        <v/>
      </c>
      <c r="D20">
        <f>S20</f>
        <v/>
      </c>
      <c r="E20">
        <f>I19</f>
        <v/>
      </c>
      <c r="F20">
        <f>J19</f>
        <v/>
      </c>
      <c r="G20">
        <f>F20+C20</f>
        <v/>
      </c>
      <c r="H20">
        <f>MIN(E20+D20, G20)</f>
        <v/>
      </c>
      <c r="I20">
        <f>E20+D20-H20</f>
        <v/>
      </c>
      <c r="J20">
        <f>G20-H20</f>
        <v/>
      </c>
      <c r="K20">
        <f>I20*Inputs!$B$3</f>
        <v/>
      </c>
      <c r="L20">
        <f>J20*Inputs!$B$4</f>
        <v/>
      </c>
      <c r="M20">
        <f>K20+L20</f>
        <v/>
      </c>
      <c r="N20">
        <f>N19+M20</f>
        <v/>
      </c>
      <c r="P20">
        <f>IF(Inputs!$B$10="Manual", IF(O20="", P19, O20), W20)</f>
        <v/>
      </c>
      <c r="Q20">
        <f>R19</f>
        <v/>
      </c>
      <c r="R20">
        <f>P19</f>
        <v/>
      </c>
      <c r="S20">
        <f>T19</f>
        <v/>
      </c>
      <c r="T20">
        <f>'Factory'!H19</f>
        <v/>
      </c>
      <c r="U20">
        <f>E20+S20+T20-F20</f>
        <v/>
      </c>
      <c r="V20">
        <f>Inputs!$B$5*Inputs!$B$15</f>
        <v/>
      </c>
      <c r="W20">
        <f>MAX(0, V20-U20)</f>
        <v/>
      </c>
    </row>
    <row r="21">
      <c r="A21" t="n">
        <v>20</v>
      </c>
      <c r="C21">
        <f>'Wholesaler'!Q21</f>
        <v/>
      </c>
      <c r="D21">
        <f>S21</f>
        <v/>
      </c>
      <c r="E21">
        <f>I20</f>
        <v/>
      </c>
      <c r="F21">
        <f>J20</f>
        <v/>
      </c>
      <c r="G21">
        <f>F21+C21</f>
        <v/>
      </c>
      <c r="H21">
        <f>MIN(E21+D21, G21)</f>
        <v/>
      </c>
      <c r="I21">
        <f>E21+D21-H21</f>
        <v/>
      </c>
      <c r="J21">
        <f>G21-H21</f>
        <v/>
      </c>
      <c r="K21">
        <f>I21*Inputs!$B$3</f>
        <v/>
      </c>
      <c r="L21">
        <f>J21*Inputs!$B$4</f>
        <v/>
      </c>
      <c r="M21">
        <f>K21+L21</f>
        <v/>
      </c>
      <c r="N21">
        <f>N20+M21</f>
        <v/>
      </c>
      <c r="P21">
        <f>IF(Inputs!$B$10="Manual", IF(O21="", P20, O21), W21)</f>
        <v/>
      </c>
      <c r="Q21">
        <f>R20</f>
        <v/>
      </c>
      <c r="R21">
        <f>P20</f>
        <v/>
      </c>
      <c r="S21">
        <f>T20</f>
        <v/>
      </c>
      <c r="T21">
        <f>'Factory'!H20</f>
        <v/>
      </c>
      <c r="U21">
        <f>E21+S21+T21-F21</f>
        <v/>
      </c>
      <c r="V21">
        <f>Inputs!$B$5*Inputs!$B$15</f>
        <v/>
      </c>
      <c r="W21">
        <f>MAX(0, V21-U21)</f>
        <v/>
      </c>
    </row>
    <row r="22">
      <c r="A22" t="n">
        <v>21</v>
      </c>
      <c r="C22">
        <f>'Wholesaler'!Q22</f>
        <v/>
      </c>
      <c r="D22">
        <f>S22</f>
        <v/>
      </c>
      <c r="E22">
        <f>I21</f>
        <v/>
      </c>
      <c r="F22">
        <f>J21</f>
        <v/>
      </c>
      <c r="G22">
        <f>F22+C22</f>
        <v/>
      </c>
      <c r="H22">
        <f>MIN(E22+D22, G22)</f>
        <v/>
      </c>
      <c r="I22">
        <f>E22+D22-H22</f>
        <v/>
      </c>
      <c r="J22">
        <f>G22-H22</f>
        <v/>
      </c>
      <c r="K22">
        <f>I22*Inputs!$B$3</f>
        <v/>
      </c>
      <c r="L22">
        <f>J22*Inputs!$B$4</f>
        <v/>
      </c>
      <c r="M22">
        <f>K22+L22</f>
        <v/>
      </c>
      <c r="N22">
        <f>N21+M22</f>
        <v/>
      </c>
      <c r="P22">
        <f>IF(Inputs!$B$10="Manual", IF(O22="", P21, O22), W22)</f>
        <v/>
      </c>
      <c r="Q22">
        <f>R21</f>
        <v/>
      </c>
      <c r="R22">
        <f>P21</f>
        <v/>
      </c>
      <c r="S22">
        <f>T21</f>
        <v/>
      </c>
      <c r="T22">
        <f>'Factory'!H21</f>
        <v/>
      </c>
      <c r="U22">
        <f>E22+S22+T22-F22</f>
        <v/>
      </c>
      <c r="V22">
        <f>Inputs!$B$5*Inputs!$B$15</f>
        <v/>
      </c>
      <c r="W22">
        <f>MAX(0, V22-U22)</f>
        <v/>
      </c>
    </row>
    <row r="23">
      <c r="A23" t="n">
        <v>22</v>
      </c>
      <c r="C23">
        <f>'Wholesaler'!Q23</f>
        <v/>
      </c>
      <c r="D23">
        <f>S23</f>
        <v/>
      </c>
      <c r="E23">
        <f>I22</f>
        <v/>
      </c>
      <c r="F23">
        <f>J22</f>
        <v/>
      </c>
      <c r="G23">
        <f>F23+C23</f>
        <v/>
      </c>
      <c r="H23">
        <f>MIN(E23+D23, G23)</f>
        <v/>
      </c>
      <c r="I23">
        <f>E23+D23-H23</f>
        <v/>
      </c>
      <c r="J23">
        <f>G23-H23</f>
        <v/>
      </c>
      <c r="K23">
        <f>I23*Inputs!$B$3</f>
        <v/>
      </c>
      <c r="L23">
        <f>J23*Inputs!$B$4</f>
        <v/>
      </c>
      <c r="M23">
        <f>K23+L23</f>
        <v/>
      </c>
      <c r="N23">
        <f>N22+M23</f>
        <v/>
      </c>
      <c r="P23">
        <f>IF(Inputs!$B$10="Manual", IF(O23="", P22, O23), W23)</f>
        <v/>
      </c>
      <c r="Q23">
        <f>R22</f>
        <v/>
      </c>
      <c r="R23">
        <f>P22</f>
        <v/>
      </c>
      <c r="S23">
        <f>T22</f>
        <v/>
      </c>
      <c r="T23">
        <f>'Factory'!H22</f>
        <v/>
      </c>
      <c r="U23">
        <f>E23+S23+T23-F23</f>
        <v/>
      </c>
      <c r="V23">
        <f>Inputs!$B$5*Inputs!$B$15</f>
        <v/>
      </c>
      <c r="W23">
        <f>MAX(0, V23-U23)</f>
        <v/>
      </c>
    </row>
    <row r="24">
      <c r="A24" t="n">
        <v>23</v>
      </c>
      <c r="C24">
        <f>'Wholesaler'!Q24</f>
        <v/>
      </c>
      <c r="D24">
        <f>S24</f>
        <v/>
      </c>
      <c r="E24">
        <f>I23</f>
        <v/>
      </c>
      <c r="F24">
        <f>J23</f>
        <v/>
      </c>
      <c r="G24">
        <f>F24+C24</f>
        <v/>
      </c>
      <c r="H24">
        <f>MIN(E24+D24, G24)</f>
        <v/>
      </c>
      <c r="I24">
        <f>E24+D24-H24</f>
        <v/>
      </c>
      <c r="J24">
        <f>G24-H24</f>
        <v/>
      </c>
      <c r="K24">
        <f>I24*Inputs!$B$3</f>
        <v/>
      </c>
      <c r="L24">
        <f>J24*Inputs!$B$4</f>
        <v/>
      </c>
      <c r="M24">
        <f>K24+L24</f>
        <v/>
      </c>
      <c r="N24">
        <f>N23+M24</f>
        <v/>
      </c>
      <c r="P24">
        <f>IF(Inputs!$B$10="Manual", IF(O24="", P23, O24), W24)</f>
        <v/>
      </c>
      <c r="Q24">
        <f>R23</f>
        <v/>
      </c>
      <c r="R24">
        <f>P23</f>
        <v/>
      </c>
      <c r="S24">
        <f>T23</f>
        <v/>
      </c>
      <c r="T24">
        <f>'Factory'!H23</f>
        <v/>
      </c>
      <c r="U24">
        <f>E24+S24+T24-F24</f>
        <v/>
      </c>
      <c r="V24">
        <f>Inputs!$B$5*Inputs!$B$15</f>
        <v/>
      </c>
      <c r="W24">
        <f>MAX(0, V24-U24)</f>
        <v/>
      </c>
    </row>
    <row r="25">
      <c r="A25" t="n">
        <v>24</v>
      </c>
      <c r="C25">
        <f>'Wholesaler'!Q25</f>
        <v/>
      </c>
      <c r="D25">
        <f>S25</f>
        <v/>
      </c>
      <c r="E25">
        <f>I24</f>
        <v/>
      </c>
      <c r="F25">
        <f>J24</f>
        <v/>
      </c>
      <c r="G25">
        <f>F25+C25</f>
        <v/>
      </c>
      <c r="H25">
        <f>MIN(E25+D25, G25)</f>
        <v/>
      </c>
      <c r="I25">
        <f>E25+D25-H25</f>
        <v/>
      </c>
      <c r="J25">
        <f>G25-H25</f>
        <v/>
      </c>
      <c r="K25">
        <f>I25*Inputs!$B$3</f>
        <v/>
      </c>
      <c r="L25">
        <f>J25*Inputs!$B$4</f>
        <v/>
      </c>
      <c r="M25">
        <f>K25+L25</f>
        <v/>
      </c>
      <c r="N25">
        <f>N24+M25</f>
        <v/>
      </c>
      <c r="P25">
        <f>IF(Inputs!$B$10="Manual", IF(O25="", P24, O25), W25)</f>
        <v/>
      </c>
      <c r="Q25">
        <f>R24</f>
        <v/>
      </c>
      <c r="R25">
        <f>P24</f>
        <v/>
      </c>
      <c r="S25">
        <f>T24</f>
        <v/>
      </c>
      <c r="T25">
        <f>'Factory'!H24</f>
        <v/>
      </c>
      <c r="U25">
        <f>E25+S25+T25-F25</f>
        <v/>
      </c>
      <c r="V25">
        <f>Inputs!$B$5*Inputs!$B$15</f>
        <v/>
      </c>
      <c r="W25">
        <f>MAX(0, V25-U25)</f>
        <v/>
      </c>
    </row>
    <row r="26">
      <c r="A26" t="n">
        <v>25</v>
      </c>
      <c r="C26">
        <f>'Wholesaler'!Q26</f>
        <v/>
      </c>
      <c r="D26">
        <f>S26</f>
        <v/>
      </c>
      <c r="E26">
        <f>I25</f>
        <v/>
      </c>
      <c r="F26">
        <f>J25</f>
        <v/>
      </c>
      <c r="G26">
        <f>F26+C26</f>
        <v/>
      </c>
      <c r="H26">
        <f>MIN(E26+D26, G26)</f>
        <v/>
      </c>
      <c r="I26">
        <f>E26+D26-H26</f>
        <v/>
      </c>
      <c r="J26">
        <f>G26-H26</f>
        <v/>
      </c>
      <c r="K26">
        <f>I26*Inputs!$B$3</f>
        <v/>
      </c>
      <c r="L26">
        <f>J26*Inputs!$B$4</f>
        <v/>
      </c>
      <c r="M26">
        <f>K26+L26</f>
        <v/>
      </c>
      <c r="N26">
        <f>N25+M26</f>
        <v/>
      </c>
      <c r="P26">
        <f>IF(Inputs!$B$10="Manual", IF(O26="", P25, O26), W26)</f>
        <v/>
      </c>
      <c r="Q26">
        <f>R25</f>
        <v/>
      </c>
      <c r="R26">
        <f>P25</f>
        <v/>
      </c>
      <c r="S26">
        <f>T25</f>
        <v/>
      </c>
      <c r="T26">
        <f>'Factory'!H25</f>
        <v/>
      </c>
      <c r="U26">
        <f>E26+S26+T26-F26</f>
        <v/>
      </c>
      <c r="V26">
        <f>Inputs!$B$5*Inputs!$B$15</f>
        <v/>
      </c>
      <c r="W26">
        <f>MAX(0, V26-U26)</f>
        <v/>
      </c>
    </row>
    <row r="27">
      <c r="A27" t="n">
        <v>26</v>
      </c>
      <c r="C27">
        <f>'Wholesaler'!Q27</f>
        <v/>
      </c>
      <c r="D27">
        <f>S27</f>
        <v/>
      </c>
      <c r="E27">
        <f>I26</f>
        <v/>
      </c>
      <c r="F27">
        <f>J26</f>
        <v/>
      </c>
      <c r="G27">
        <f>F27+C27</f>
        <v/>
      </c>
      <c r="H27">
        <f>MIN(E27+D27, G27)</f>
        <v/>
      </c>
      <c r="I27">
        <f>E27+D27-H27</f>
        <v/>
      </c>
      <c r="J27">
        <f>G27-H27</f>
        <v/>
      </c>
      <c r="K27">
        <f>I27*Inputs!$B$3</f>
        <v/>
      </c>
      <c r="L27">
        <f>J27*Inputs!$B$4</f>
        <v/>
      </c>
      <c r="M27">
        <f>K27+L27</f>
        <v/>
      </c>
      <c r="N27">
        <f>N26+M27</f>
        <v/>
      </c>
      <c r="P27">
        <f>IF(Inputs!$B$10="Manual", IF(O27="", P26, O27), W27)</f>
        <v/>
      </c>
      <c r="Q27">
        <f>R26</f>
        <v/>
      </c>
      <c r="R27">
        <f>P26</f>
        <v/>
      </c>
      <c r="S27">
        <f>T26</f>
        <v/>
      </c>
      <c r="T27">
        <f>'Factory'!H26</f>
        <v/>
      </c>
      <c r="U27">
        <f>E27+S27+T27-F27</f>
        <v/>
      </c>
      <c r="V27">
        <f>Inputs!$B$5*Inputs!$B$15</f>
        <v/>
      </c>
      <c r="W27">
        <f>MAX(0, V27-U27)</f>
        <v/>
      </c>
    </row>
    <row r="28">
      <c r="A28" t="n">
        <v>27</v>
      </c>
      <c r="C28">
        <f>'Wholesaler'!Q28</f>
        <v/>
      </c>
      <c r="D28">
        <f>S28</f>
        <v/>
      </c>
      <c r="E28">
        <f>I27</f>
        <v/>
      </c>
      <c r="F28">
        <f>J27</f>
        <v/>
      </c>
      <c r="G28">
        <f>F28+C28</f>
        <v/>
      </c>
      <c r="H28">
        <f>MIN(E28+D28, G28)</f>
        <v/>
      </c>
      <c r="I28">
        <f>E28+D28-H28</f>
        <v/>
      </c>
      <c r="J28">
        <f>G28-H28</f>
        <v/>
      </c>
      <c r="K28">
        <f>I28*Inputs!$B$3</f>
        <v/>
      </c>
      <c r="L28">
        <f>J28*Inputs!$B$4</f>
        <v/>
      </c>
      <c r="M28">
        <f>K28+L28</f>
        <v/>
      </c>
      <c r="N28">
        <f>N27+M28</f>
        <v/>
      </c>
      <c r="P28">
        <f>IF(Inputs!$B$10="Manual", IF(O28="", P27, O28), W28)</f>
        <v/>
      </c>
      <c r="Q28">
        <f>R27</f>
        <v/>
      </c>
      <c r="R28">
        <f>P27</f>
        <v/>
      </c>
      <c r="S28">
        <f>T27</f>
        <v/>
      </c>
      <c r="T28">
        <f>'Factory'!H27</f>
        <v/>
      </c>
      <c r="U28">
        <f>E28+S28+T28-F28</f>
        <v/>
      </c>
      <c r="V28">
        <f>Inputs!$B$5*Inputs!$B$15</f>
        <v/>
      </c>
      <c r="W28">
        <f>MAX(0, V28-U28)</f>
        <v/>
      </c>
    </row>
    <row r="29">
      <c r="A29" t="n">
        <v>28</v>
      </c>
      <c r="C29">
        <f>'Wholesaler'!Q29</f>
        <v/>
      </c>
      <c r="D29">
        <f>S29</f>
        <v/>
      </c>
      <c r="E29">
        <f>I28</f>
        <v/>
      </c>
      <c r="F29">
        <f>J28</f>
        <v/>
      </c>
      <c r="G29">
        <f>F29+C29</f>
        <v/>
      </c>
      <c r="H29">
        <f>MIN(E29+D29, G29)</f>
        <v/>
      </c>
      <c r="I29">
        <f>E29+D29-H29</f>
        <v/>
      </c>
      <c r="J29">
        <f>G29-H29</f>
        <v/>
      </c>
      <c r="K29">
        <f>I29*Inputs!$B$3</f>
        <v/>
      </c>
      <c r="L29">
        <f>J29*Inputs!$B$4</f>
        <v/>
      </c>
      <c r="M29">
        <f>K29+L29</f>
        <v/>
      </c>
      <c r="N29">
        <f>N28+M29</f>
        <v/>
      </c>
      <c r="P29">
        <f>IF(Inputs!$B$10="Manual", IF(O29="", P28, O29), W29)</f>
        <v/>
      </c>
      <c r="Q29">
        <f>R28</f>
        <v/>
      </c>
      <c r="R29">
        <f>P28</f>
        <v/>
      </c>
      <c r="S29">
        <f>T28</f>
        <v/>
      </c>
      <c r="T29">
        <f>'Factory'!H28</f>
        <v/>
      </c>
      <c r="U29">
        <f>E29+S29+T29-F29</f>
        <v/>
      </c>
      <c r="V29">
        <f>Inputs!$B$5*Inputs!$B$15</f>
        <v/>
      </c>
      <c r="W29">
        <f>MAX(0, V29-U29)</f>
        <v/>
      </c>
    </row>
    <row r="30">
      <c r="A30" t="n">
        <v>29</v>
      </c>
      <c r="C30">
        <f>'Wholesaler'!Q30</f>
        <v/>
      </c>
      <c r="D30">
        <f>S30</f>
        <v/>
      </c>
      <c r="E30">
        <f>I29</f>
        <v/>
      </c>
      <c r="F30">
        <f>J29</f>
        <v/>
      </c>
      <c r="G30">
        <f>F30+C30</f>
        <v/>
      </c>
      <c r="H30">
        <f>MIN(E30+D30, G30)</f>
        <v/>
      </c>
      <c r="I30">
        <f>E30+D30-H30</f>
        <v/>
      </c>
      <c r="J30">
        <f>G30-H30</f>
        <v/>
      </c>
      <c r="K30">
        <f>I30*Inputs!$B$3</f>
        <v/>
      </c>
      <c r="L30">
        <f>J30*Inputs!$B$4</f>
        <v/>
      </c>
      <c r="M30">
        <f>K30+L30</f>
        <v/>
      </c>
      <c r="N30">
        <f>N29+M30</f>
        <v/>
      </c>
      <c r="P30">
        <f>IF(Inputs!$B$10="Manual", IF(O30="", P29, O30), W30)</f>
        <v/>
      </c>
      <c r="Q30">
        <f>R29</f>
        <v/>
      </c>
      <c r="R30">
        <f>P29</f>
        <v/>
      </c>
      <c r="S30">
        <f>T29</f>
        <v/>
      </c>
      <c r="T30">
        <f>'Factory'!H29</f>
        <v/>
      </c>
      <c r="U30">
        <f>E30+S30+T30-F30</f>
        <v/>
      </c>
      <c r="V30">
        <f>Inputs!$B$5*Inputs!$B$15</f>
        <v/>
      </c>
      <c r="W30">
        <f>MAX(0, V30-U30)</f>
        <v/>
      </c>
    </row>
    <row r="31">
      <c r="A31" t="n">
        <v>30</v>
      </c>
      <c r="C31">
        <f>'Wholesaler'!Q31</f>
        <v/>
      </c>
      <c r="D31">
        <f>S31</f>
        <v/>
      </c>
      <c r="E31">
        <f>I30</f>
        <v/>
      </c>
      <c r="F31">
        <f>J30</f>
        <v/>
      </c>
      <c r="G31">
        <f>F31+C31</f>
        <v/>
      </c>
      <c r="H31">
        <f>MIN(E31+D31, G31)</f>
        <v/>
      </c>
      <c r="I31">
        <f>E31+D31-H31</f>
        <v/>
      </c>
      <c r="J31">
        <f>G31-H31</f>
        <v/>
      </c>
      <c r="K31">
        <f>I31*Inputs!$B$3</f>
        <v/>
      </c>
      <c r="L31">
        <f>J31*Inputs!$B$4</f>
        <v/>
      </c>
      <c r="M31">
        <f>K31+L31</f>
        <v/>
      </c>
      <c r="N31">
        <f>N30+M31</f>
        <v/>
      </c>
      <c r="P31">
        <f>IF(Inputs!$B$10="Manual", IF(O31="", P30, O31), W31)</f>
        <v/>
      </c>
      <c r="Q31">
        <f>R30</f>
        <v/>
      </c>
      <c r="R31">
        <f>P30</f>
        <v/>
      </c>
      <c r="S31">
        <f>T30</f>
        <v/>
      </c>
      <c r="T31">
        <f>'Factory'!H30</f>
        <v/>
      </c>
      <c r="U31">
        <f>E31+S31+T31-F31</f>
        <v/>
      </c>
      <c r="V31">
        <f>Inputs!$B$5*Inputs!$B$15</f>
        <v/>
      </c>
      <c r="W31">
        <f>MAX(0, V31-U31)</f>
        <v/>
      </c>
    </row>
    <row r="32">
      <c r="A32" t="n">
        <v>31</v>
      </c>
      <c r="C32">
        <f>'Wholesaler'!Q32</f>
        <v/>
      </c>
      <c r="D32">
        <f>S32</f>
        <v/>
      </c>
      <c r="E32">
        <f>I31</f>
        <v/>
      </c>
      <c r="F32">
        <f>J31</f>
        <v/>
      </c>
      <c r="G32">
        <f>F32+C32</f>
        <v/>
      </c>
      <c r="H32">
        <f>MIN(E32+D32, G32)</f>
        <v/>
      </c>
      <c r="I32">
        <f>E32+D32-H32</f>
        <v/>
      </c>
      <c r="J32">
        <f>G32-H32</f>
        <v/>
      </c>
      <c r="K32">
        <f>I32*Inputs!$B$3</f>
        <v/>
      </c>
      <c r="L32">
        <f>J32*Inputs!$B$4</f>
        <v/>
      </c>
      <c r="M32">
        <f>K32+L32</f>
        <v/>
      </c>
      <c r="N32">
        <f>N31+M32</f>
        <v/>
      </c>
      <c r="P32">
        <f>IF(Inputs!$B$10="Manual", IF(O32="", P31, O32), W32)</f>
        <v/>
      </c>
      <c r="Q32">
        <f>R31</f>
        <v/>
      </c>
      <c r="R32">
        <f>P31</f>
        <v/>
      </c>
      <c r="S32">
        <f>T31</f>
        <v/>
      </c>
      <c r="T32">
        <f>'Factory'!H31</f>
        <v/>
      </c>
      <c r="U32">
        <f>E32+S32+T32-F32</f>
        <v/>
      </c>
      <c r="V32">
        <f>Inputs!$B$5*Inputs!$B$15</f>
        <v/>
      </c>
      <c r="W32">
        <f>MAX(0, V32-U32)</f>
        <v/>
      </c>
    </row>
    <row r="33">
      <c r="A33" t="n">
        <v>32</v>
      </c>
      <c r="C33">
        <f>'Wholesaler'!Q33</f>
        <v/>
      </c>
      <c r="D33">
        <f>S33</f>
        <v/>
      </c>
      <c r="E33">
        <f>I32</f>
        <v/>
      </c>
      <c r="F33">
        <f>J32</f>
        <v/>
      </c>
      <c r="G33">
        <f>F33+C33</f>
        <v/>
      </c>
      <c r="H33">
        <f>MIN(E33+D33, G33)</f>
        <v/>
      </c>
      <c r="I33">
        <f>E33+D33-H33</f>
        <v/>
      </c>
      <c r="J33">
        <f>G33-H33</f>
        <v/>
      </c>
      <c r="K33">
        <f>I33*Inputs!$B$3</f>
        <v/>
      </c>
      <c r="L33">
        <f>J33*Inputs!$B$4</f>
        <v/>
      </c>
      <c r="M33">
        <f>K33+L33</f>
        <v/>
      </c>
      <c r="N33">
        <f>N32+M33</f>
        <v/>
      </c>
      <c r="P33">
        <f>IF(Inputs!$B$10="Manual", IF(O33="", P32, O33), W33)</f>
        <v/>
      </c>
      <c r="Q33">
        <f>R32</f>
        <v/>
      </c>
      <c r="R33">
        <f>P32</f>
        <v/>
      </c>
      <c r="S33">
        <f>T32</f>
        <v/>
      </c>
      <c r="T33">
        <f>'Factory'!H32</f>
        <v/>
      </c>
      <c r="U33">
        <f>E33+S33+T33-F33</f>
        <v/>
      </c>
      <c r="V33">
        <f>Inputs!$B$5*Inputs!$B$15</f>
        <v/>
      </c>
      <c r="W33">
        <f>MAX(0, V33-U33)</f>
        <v/>
      </c>
    </row>
    <row r="34">
      <c r="A34" t="n">
        <v>33</v>
      </c>
      <c r="C34">
        <f>'Wholesaler'!Q34</f>
        <v/>
      </c>
      <c r="D34">
        <f>S34</f>
        <v/>
      </c>
      <c r="E34">
        <f>I33</f>
        <v/>
      </c>
      <c r="F34">
        <f>J33</f>
        <v/>
      </c>
      <c r="G34">
        <f>F34+C34</f>
        <v/>
      </c>
      <c r="H34">
        <f>MIN(E34+D34, G34)</f>
        <v/>
      </c>
      <c r="I34">
        <f>E34+D34-H34</f>
        <v/>
      </c>
      <c r="J34">
        <f>G34-H34</f>
        <v/>
      </c>
      <c r="K34">
        <f>I34*Inputs!$B$3</f>
        <v/>
      </c>
      <c r="L34">
        <f>J34*Inputs!$B$4</f>
        <v/>
      </c>
      <c r="M34">
        <f>K34+L34</f>
        <v/>
      </c>
      <c r="N34">
        <f>N33+M34</f>
        <v/>
      </c>
      <c r="P34">
        <f>IF(Inputs!$B$10="Manual", IF(O34="", P33, O34), W34)</f>
        <v/>
      </c>
      <c r="Q34">
        <f>R33</f>
        <v/>
      </c>
      <c r="R34">
        <f>P33</f>
        <v/>
      </c>
      <c r="S34">
        <f>T33</f>
        <v/>
      </c>
      <c r="T34">
        <f>'Factory'!H33</f>
        <v/>
      </c>
      <c r="U34">
        <f>E34+S34+T34-F34</f>
        <v/>
      </c>
      <c r="V34">
        <f>Inputs!$B$5*Inputs!$B$15</f>
        <v/>
      </c>
      <c r="W34">
        <f>MAX(0, V34-U34)</f>
        <v/>
      </c>
    </row>
    <row r="35">
      <c r="A35" t="n">
        <v>34</v>
      </c>
      <c r="C35">
        <f>'Wholesaler'!Q35</f>
        <v/>
      </c>
      <c r="D35">
        <f>S35</f>
        <v/>
      </c>
      <c r="E35">
        <f>I34</f>
        <v/>
      </c>
      <c r="F35">
        <f>J34</f>
        <v/>
      </c>
      <c r="G35">
        <f>F35+C35</f>
        <v/>
      </c>
      <c r="H35">
        <f>MIN(E35+D35, G35)</f>
        <v/>
      </c>
      <c r="I35">
        <f>E35+D35-H35</f>
        <v/>
      </c>
      <c r="J35">
        <f>G35-H35</f>
        <v/>
      </c>
      <c r="K35">
        <f>I35*Inputs!$B$3</f>
        <v/>
      </c>
      <c r="L35">
        <f>J35*Inputs!$B$4</f>
        <v/>
      </c>
      <c r="M35">
        <f>K35+L35</f>
        <v/>
      </c>
      <c r="N35">
        <f>N34+M35</f>
        <v/>
      </c>
      <c r="P35">
        <f>IF(Inputs!$B$10="Manual", IF(O35="", P34, O35), W35)</f>
        <v/>
      </c>
      <c r="Q35">
        <f>R34</f>
        <v/>
      </c>
      <c r="R35">
        <f>P34</f>
        <v/>
      </c>
      <c r="S35">
        <f>T34</f>
        <v/>
      </c>
      <c r="T35">
        <f>'Factory'!H34</f>
        <v/>
      </c>
      <c r="U35">
        <f>E35+S35+T35-F35</f>
        <v/>
      </c>
      <c r="V35">
        <f>Inputs!$B$5*Inputs!$B$15</f>
        <v/>
      </c>
      <c r="W35">
        <f>MAX(0, V35-U35)</f>
        <v/>
      </c>
    </row>
    <row r="36">
      <c r="A36" t="n">
        <v>35</v>
      </c>
      <c r="C36">
        <f>'Wholesaler'!Q36</f>
        <v/>
      </c>
      <c r="D36">
        <f>S36</f>
        <v/>
      </c>
      <c r="E36">
        <f>I35</f>
        <v/>
      </c>
      <c r="F36">
        <f>J35</f>
        <v/>
      </c>
      <c r="G36">
        <f>F36+C36</f>
        <v/>
      </c>
      <c r="H36">
        <f>MIN(E36+D36, G36)</f>
        <v/>
      </c>
      <c r="I36">
        <f>E36+D36-H36</f>
        <v/>
      </c>
      <c r="J36">
        <f>G36-H36</f>
        <v/>
      </c>
      <c r="K36">
        <f>I36*Inputs!$B$3</f>
        <v/>
      </c>
      <c r="L36">
        <f>J36*Inputs!$B$4</f>
        <v/>
      </c>
      <c r="M36">
        <f>K36+L36</f>
        <v/>
      </c>
      <c r="N36">
        <f>N35+M36</f>
        <v/>
      </c>
      <c r="P36">
        <f>IF(Inputs!$B$10="Manual", IF(O36="", P35, O36), W36)</f>
        <v/>
      </c>
      <c r="Q36">
        <f>R35</f>
        <v/>
      </c>
      <c r="R36">
        <f>P35</f>
        <v/>
      </c>
      <c r="S36">
        <f>T35</f>
        <v/>
      </c>
      <c r="T36">
        <f>'Factory'!H35</f>
        <v/>
      </c>
      <c r="U36">
        <f>E36+S36+T36-F36</f>
        <v/>
      </c>
      <c r="V36">
        <f>Inputs!$B$5*Inputs!$B$15</f>
        <v/>
      </c>
      <c r="W36">
        <f>MAX(0, V36-U36)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CustomerDemand</t>
        </is>
      </c>
      <c r="C1" t="inlineStr">
        <is>
          <t>In</t>
        </is>
      </c>
      <c r="D1" t="inlineStr">
        <is>
          <t>Recv</t>
        </is>
      </c>
      <c r="E1" t="inlineStr">
        <is>
          <t>BegInv</t>
        </is>
      </c>
      <c r="F1" t="inlineStr">
        <is>
          <t>BegBacklog</t>
        </is>
      </c>
      <c r="G1" t="inlineStr">
        <is>
          <t>TotalReq</t>
        </is>
      </c>
      <c r="H1" t="inlineStr">
        <is>
          <t>Ship</t>
        </is>
      </c>
      <c r="I1" t="inlineStr">
        <is>
          <t>EndInv</t>
        </is>
      </c>
      <c r="J1" t="inlineStr">
        <is>
          <t>EndBacklog</t>
        </is>
      </c>
      <c r="K1" t="inlineStr">
        <is>
          <t>InvCost</t>
        </is>
      </c>
      <c r="L1" t="inlineStr">
        <is>
          <t>BackCost</t>
        </is>
      </c>
      <c r="M1" t="inlineStr">
        <is>
          <t>WeekCost</t>
        </is>
      </c>
      <c r="N1" t="inlineStr">
        <is>
          <t>CumulativeCost</t>
        </is>
      </c>
      <c r="O1" t="inlineStr">
        <is>
          <t>OrderManual</t>
        </is>
      </c>
      <c r="P1" t="inlineStr">
        <is>
          <t>OrderPlaced</t>
        </is>
      </c>
      <c r="Q1" t="inlineStr">
        <is>
          <t>OrderPipe1</t>
        </is>
      </c>
      <c r="R1" t="inlineStr">
        <is>
          <t>OrderPipe2</t>
        </is>
      </c>
      <c r="S1" t="inlineStr">
        <is>
          <t>ShipPipe1</t>
        </is>
      </c>
      <c r="T1" t="inlineStr">
        <is>
          <t>ShipPipe2</t>
        </is>
      </c>
      <c r="U1" t="inlineStr">
        <is>
          <t>InventoryPos</t>
        </is>
      </c>
      <c r="V1" t="inlineStr">
        <is>
          <t>TargetLevel</t>
        </is>
      </c>
      <c r="W1" t="inlineStr">
        <is>
          <t>SuggestedOrder</t>
        </is>
      </c>
    </row>
    <row r="2">
      <c r="A2" t="n">
        <v>1</v>
      </c>
      <c r="C2">
        <f>'Distributor'!Q2</f>
        <v/>
      </c>
      <c r="D2">
        <f>S2</f>
        <v/>
      </c>
      <c r="E2">
        <f>Inputs!$B$18</f>
        <v/>
      </c>
      <c r="F2" t="n">
        <v>0</v>
      </c>
      <c r="G2">
        <f>F2+C2</f>
        <v/>
      </c>
      <c r="H2">
        <f>MIN(E2+D2, G2)</f>
        <v/>
      </c>
      <c r="I2">
        <f>E2+D2-H2</f>
        <v/>
      </c>
      <c r="J2">
        <f>G2-H2</f>
        <v/>
      </c>
      <c r="K2">
        <f>I2*Inputs!$B$3</f>
        <v/>
      </c>
      <c r="L2">
        <f>J2*Inputs!$B$4</f>
        <v/>
      </c>
      <c r="M2">
        <f>K2+L2</f>
        <v/>
      </c>
      <c r="N2">
        <f>M2</f>
        <v/>
      </c>
      <c r="P2">
        <f>IF(Inputs!$B$10="Manual", IF(O2="", Inputs!$B$23, O2), W2)</f>
        <v/>
      </c>
      <c r="Q2">
        <f>Inputs!$B$21</f>
        <v/>
      </c>
      <c r="R2">
        <f>Inputs!$B$22</f>
        <v/>
      </c>
      <c r="S2">
        <f>Inputs!$B$19</f>
        <v/>
      </c>
      <c r="T2">
        <f>Inputs!$B$20</f>
        <v/>
      </c>
      <c r="U2">
        <f>E2+S2+T2-F2</f>
        <v/>
      </c>
      <c r="V2">
        <f>Inputs!$B$5*Inputs!$B$16</f>
        <v/>
      </c>
      <c r="W2">
        <f>MAX(0, V2-U2)</f>
        <v/>
      </c>
    </row>
    <row r="3">
      <c r="A3" t="n">
        <v>2</v>
      </c>
      <c r="C3">
        <f>'Distributor'!Q3</f>
        <v/>
      </c>
      <c r="D3">
        <f>S3</f>
        <v/>
      </c>
      <c r="E3">
        <f>I2</f>
        <v/>
      </c>
      <c r="F3">
        <f>J2</f>
        <v/>
      </c>
      <c r="G3">
        <f>F3+C3</f>
        <v/>
      </c>
      <c r="H3">
        <f>MIN(E3+D3, G3)</f>
        <v/>
      </c>
      <c r="I3">
        <f>E3+D3-H3</f>
        <v/>
      </c>
      <c r="J3">
        <f>G3-H3</f>
        <v/>
      </c>
      <c r="K3">
        <f>I3*Inputs!$B$3</f>
        <v/>
      </c>
      <c r="L3">
        <f>J3*Inputs!$B$4</f>
        <v/>
      </c>
      <c r="M3">
        <f>K3+L3</f>
        <v/>
      </c>
      <c r="N3">
        <f>N2+M3</f>
        <v/>
      </c>
      <c r="P3">
        <f>IF(Inputs!$B$10="Manual", IF(O3="", P2, O3), W3)</f>
        <v/>
      </c>
      <c r="Q3">
        <f>R2</f>
        <v/>
      </c>
      <c r="R3">
        <f>P2</f>
        <v/>
      </c>
      <c r="S3">
        <f>T2</f>
        <v/>
      </c>
      <c r="T3">
        <f>P2</f>
        <v/>
      </c>
      <c r="U3">
        <f>E3+S3+T3-F3</f>
        <v/>
      </c>
      <c r="V3">
        <f>Inputs!$B$5*Inputs!$B$16</f>
        <v/>
      </c>
      <c r="W3">
        <f>MAX(0, V3-U3)</f>
        <v/>
      </c>
    </row>
    <row r="4">
      <c r="A4" t="n">
        <v>3</v>
      </c>
      <c r="C4">
        <f>'Distributor'!Q4</f>
        <v/>
      </c>
      <c r="D4">
        <f>S4</f>
        <v/>
      </c>
      <c r="E4">
        <f>I3</f>
        <v/>
      </c>
      <c r="F4">
        <f>J3</f>
        <v/>
      </c>
      <c r="G4">
        <f>F4+C4</f>
        <v/>
      </c>
      <c r="H4">
        <f>MIN(E4+D4, G4)</f>
        <v/>
      </c>
      <c r="I4">
        <f>E4+D4-H4</f>
        <v/>
      </c>
      <c r="J4">
        <f>G4-H4</f>
        <v/>
      </c>
      <c r="K4">
        <f>I4*Inputs!$B$3</f>
        <v/>
      </c>
      <c r="L4">
        <f>J4*Inputs!$B$4</f>
        <v/>
      </c>
      <c r="M4">
        <f>K4+L4</f>
        <v/>
      </c>
      <c r="N4">
        <f>N3+M4</f>
        <v/>
      </c>
      <c r="P4">
        <f>IF(Inputs!$B$10="Manual", IF(O4="", P3, O4), W4)</f>
        <v/>
      </c>
      <c r="Q4">
        <f>R3</f>
        <v/>
      </c>
      <c r="R4">
        <f>P3</f>
        <v/>
      </c>
      <c r="S4">
        <f>T3</f>
        <v/>
      </c>
      <c r="T4">
        <f>P3</f>
        <v/>
      </c>
      <c r="U4">
        <f>E4+S4+T4-F4</f>
        <v/>
      </c>
      <c r="V4">
        <f>Inputs!$B$5*Inputs!$B$16</f>
        <v/>
      </c>
      <c r="W4">
        <f>MAX(0, V4-U4)</f>
        <v/>
      </c>
    </row>
    <row r="5">
      <c r="A5" t="n">
        <v>4</v>
      </c>
      <c r="C5">
        <f>'Distributor'!Q5</f>
        <v/>
      </c>
      <c r="D5">
        <f>S5</f>
        <v/>
      </c>
      <c r="E5">
        <f>I4</f>
        <v/>
      </c>
      <c r="F5">
        <f>J4</f>
        <v/>
      </c>
      <c r="G5">
        <f>F5+C5</f>
        <v/>
      </c>
      <c r="H5">
        <f>MIN(E5+D5, G5)</f>
        <v/>
      </c>
      <c r="I5">
        <f>E5+D5-H5</f>
        <v/>
      </c>
      <c r="J5">
        <f>G5-H5</f>
        <v/>
      </c>
      <c r="K5">
        <f>I5*Inputs!$B$3</f>
        <v/>
      </c>
      <c r="L5">
        <f>J5*Inputs!$B$4</f>
        <v/>
      </c>
      <c r="M5">
        <f>K5+L5</f>
        <v/>
      </c>
      <c r="N5">
        <f>N4+M5</f>
        <v/>
      </c>
      <c r="P5">
        <f>IF(Inputs!$B$10="Manual", IF(O5="", P4, O5), W5)</f>
        <v/>
      </c>
      <c r="Q5">
        <f>R4</f>
        <v/>
      </c>
      <c r="R5">
        <f>P4</f>
        <v/>
      </c>
      <c r="S5">
        <f>T4</f>
        <v/>
      </c>
      <c r="T5">
        <f>P4</f>
        <v/>
      </c>
      <c r="U5">
        <f>E5+S5+T5-F5</f>
        <v/>
      </c>
      <c r="V5">
        <f>Inputs!$B$5*Inputs!$B$16</f>
        <v/>
      </c>
      <c r="W5">
        <f>MAX(0, V5-U5)</f>
        <v/>
      </c>
    </row>
    <row r="6">
      <c r="A6" t="n">
        <v>5</v>
      </c>
      <c r="C6">
        <f>'Distributor'!Q6</f>
        <v/>
      </c>
      <c r="D6">
        <f>S6</f>
        <v/>
      </c>
      <c r="E6">
        <f>I5</f>
        <v/>
      </c>
      <c r="F6">
        <f>J5</f>
        <v/>
      </c>
      <c r="G6">
        <f>F6+C6</f>
        <v/>
      </c>
      <c r="H6">
        <f>MIN(E6+D6, G6)</f>
        <v/>
      </c>
      <c r="I6">
        <f>E6+D6-H6</f>
        <v/>
      </c>
      <c r="J6">
        <f>G6-H6</f>
        <v/>
      </c>
      <c r="K6">
        <f>I6*Inputs!$B$3</f>
        <v/>
      </c>
      <c r="L6">
        <f>J6*Inputs!$B$4</f>
        <v/>
      </c>
      <c r="M6">
        <f>K6+L6</f>
        <v/>
      </c>
      <c r="N6">
        <f>N5+M6</f>
        <v/>
      </c>
      <c r="P6">
        <f>IF(Inputs!$B$10="Manual", IF(O6="", P5, O6), W6)</f>
        <v/>
      </c>
      <c r="Q6">
        <f>R5</f>
        <v/>
      </c>
      <c r="R6">
        <f>P5</f>
        <v/>
      </c>
      <c r="S6">
        <f>T5</f>
        <v/>
      </c>
      <c r="T6">
        <f>P5</f>
        <v/>
      </c>
      <c r="U6">
        <f>E6+S6+T6-F6</f>
        <v/>
      </c>
      <c r="V6">
        <f>Inputs!$B$5*Inputs!$B$16</f>
        <v/>
      </c>
      <c r="W6">
        <f>MAX(0, V6-U6)</f>
        <v/>
      </c>
    </row>
    <row r="7">
      <c r="A7" t="n">
        <v>6</v>
      </c>
      <c r="C7">
        <f>'Distributor'!Q7</f>
        <v/>
      </c>
      <c r="D7">
        <f>S7</f>
        <v/>
      </c>
      <c r="E7">
        <f>I6</f>
        <v/>
      </c>
      <c r="F7">
        <f>J6</f>
        <v/>
      </c>
      <c r="G7">
        <f>F7+C7</f>
        <v/>
      </c>
      <c r="H7">
        <f>MIN(E7+D7, G7)</f>
        <v/>
      </c>
      <c r="I7">
        <f>E7+D7-H7</f>
        <v/>
      </c>
      <c r="J7">
        <f>G7-H7</f>
        <v/>
      </c>
      <c r="K7">
        <f>I7*Inputs!$B$3</f>
        <v/>
      </c>
      <c r="L7">
        <f>J7*Inputs!$B$4</f>
        <v/>
      </c>
      <c r="M7">
        <f>K7+L7</f>
        <v/>
      </c>
      <c r="N7">
        <f>N6+M7</f>
        <v/>
      </c>
      <c r="P7">
        <f>IF(Inputs!$B$10="Manual", IF(O7="", P6, O7), W7)</f>
        <v/>
      </c>
      <c r="Q7">
        <f>R6</f>
        <v/>
      </c>
      <c r="R7">
        <f>P6</f>
        <v/>
      </c>
      <c r="S7">
        <f>T6</f>
        <v/>
      </c>
      <c r="T7">
        <f>P6</f>
        <v/>
      </c>
      <c r="U7">
        <f>E7+S7+T7-F7</f>
        <v/>
      </c>
      <c r="V7">
        <f>Inputs!$B$5*Inputs!$B$16</f>
        <v/>
      </c>
      <c r="W7">
        <f>MAX(0, V7-U7)</f>
        <v/>
      </c>
    </row>
    <row r="8">
      <c r="A8" t="n">
        <v>7</v>
      </c>
      <c r="C8">
        <f>'Distributor'!Q8</f>
        <v/>
      </c>
      <c r="D8">
        <f>S8</f>
        <v/>
      </c>
      <c r="E8">
        <f>I7</f>
        <v/>
      </c>
      <c r="F8">
        <f>J7</f>
        <v/>
      </c>
      <c r="G8">
        <f>F8+C8</f>
        <v/>
      </c>
      <c r="H8">
        <f>MIN(E8+D8, G8)</f>
        <v/>
      </c>
      <c r="I8">
        <f>E8+D8-H8</f>
        <v/>
      </c>
      <c r="J8">
        <f>G8-H8</f>
        <v/>
      </c>
      <c r="K8">
        <f>I8*Inputs!$B$3</f>
        <v/>
      </c>
      <c r="L8">
        <f>J8*Inputs!$B$4</f>
        <v/>
      </c>
      <c r="M8">
        <f>K8+L8</f>
        <v/>
      </c>
      <c r="N8">
        <f>N7+M8</f>
        <v/>
      </c>
      <c r="P8">
        <f>IF(Inputs!$B$10="Manual", IF(O8="", P7, O8), W8)</f>
        <v/>
      </c>
      <c r="Q8">
        <f>R7</f>
        <v/>
      </c>
      <c r="R8">
        <f>P7</f>
        <v/>
      </c>
      <c r="S8">
        <f>T7</f>
        <v/>
      </c>
      <c r="T8">
        <f>P7</f>
        <v/>
      </c>
      <c r="U8">
        <f>E8+S8+T8-F8</f>
        <v/>
      </c>
      <c r="V8">
        <f>Inputs!$B$5*Inputs!$B$16</f>
        <v/>
      </c>
      <c r="W8">
        <f>MAX(0, V8-U8)</f>
        <v/>
      </c>
    </row>
    <row r="9">
      <c r="A9" t="n">
        <v>8</v>
      </c>
      <c r="C9">
        <f>'Distributor'!Q9</f>
        <v/>
      </c>
      <c r="D9">
        <f>S9</f>
        <v/>
      </c>
      <c r="E9">
        <f>I8</f>
        <v/>
      </c>
      <c r="F9">
        <f>J8</f>
        <v/>
      </c>
      <c r="G9">
        <f>F9+C9</f>
        <v/>
      </c>
      <c r="H9">
        <f>MIN(E9+D9, G9)</f>
        <v/>
      </c>
      <c r="I9">
        <f>E9+D9-H9</f>
        <v/>
      </c>
      <c r="J9">
        <f>G9-H9</f>
        <v/>
      </c>
      <c r="K9">
        <f>I9*Inputs!$B$3</f>
        <v/>
      </c>
      <c r="L9">
        <f>J9*Inputs!$B$4</f>
        <v/>
      </c>
      <c r="M9">
        <f>K9+L9</f>
        <v/>
      </c>
      <c r="N9">
        <f>N8+M9</f>
        <v/>
      </c>
      <c r="P9">
        <f>IF(Inputs!$B$10="Manual", IF(O9="", P8, O9), W9)</f>
        <v/>
      </c>
      <c r="Q9">
        <f>R8</f>
        <v/>
      </c>
      <c r="R9">
        <f>P8</f>
        <v/>
      </c>
      <c r="S9">
        <f>T8</f>
        <v/>
      </c>
      <c r="T9">
        <f>P8</f>
        <v/>
      </c>
      <c r="U9">
        <f>E9+S9+T9-F9</f>
        <v/>
      </c>
      <c r="V9">
        <f>Inputs!$B$5*Inputs!$B$16</f>
        <v/>
      </c>
      <c r="W9">
        <f>MAX(0, V9-U9)</f>
        <v/>
      </c>
    </row>
    <row r="10">
      <c r="A10" t="n">
        <v>9</v>
      </c>
      <c r="C10">
        <f>'Distributor'!Q10</f>
        <v/>
      </c>
      <c r="D10">
        <f>S10</f>
        <v/>
      </c>
      <c r="E10">
        <f>I9</f>
        <v/>
      </c>
      <c r="F10">
        <f>J9</f>
        <v/>
      </c>
      <c r="G10">
        <f>F10+C10</f>
        <v/>
      </c>
      <c r="H10">
        <f>MIN(E10+D10, G10)</f>
        <v/>
      </c>
      <c r="I10">
        <f>E10+D10-H10</f>
        <v/>
      </c>
      <c r="J10">
        <f>G10-H10</f>
        <v/>
      </c>
      <c r="K10">
        <f>I10*Inputs!$B$3</f>
        <v/>
      </c>
      <c r="L10">
        <f>J10*Inputs!$B$4</f>
        <v/>
      </c>
      <c r="M10">
        <f>K10+L10</f>
        <v/>
      </c>
      <c r="N10">
        <f>N9+M10</f>
        <v/>
      </c>
      <c r="P10">
        <f>IF(Inputs!$B$10="Manual", IF(O10="", P9, O10), W10)</f>
        <v/>
      </c>
      <c r="Q10">
        <f>R9</f>
        <v/>
      </c>
      <c r="R10">
        <f>P9</f>
        <v/>
      </c>
      <c r="S10">
        <f>T9</f>
        <v/>
      </c>
      <c r="T10">
        <f>P9</f>
        <v/>
      </c>
      <c r="U10">
        <f>E10+S10+T10-F10</f>
        <v/>
      </c>
      <c r="V10">
        <f>Inputs!$B$5*Inputs!$B$16</f>
        <v/>
      </c>
      <c r="W10">
        <f>MAX(0, V10-U10)</f>
        <v/>
      </c>
    </row>
    <row r="11">
      <c r="A11" t="n">
        <v>10</v>
      </c>
      <c r="C11">
        <f>'Distributor'!Q11</f>
        <v/>
      </c>
      <c r="D11">
        <f>S11</f>
        <v/>
      </c>
      <c r="E11">
        <f>I10</f>
        <v/>
      </c>
      <c r="F11">
        <f>J10</f>
        <v/>
      </c>
      <c r="G11">
        <f>F11+C11</f>
        <v/>
      </c>
      <c r="H11">
        <f>MIN(E11+D11, G11)</f>
        <v/>
      </c>
      <c r="I11">
        <f>E11+D11-H11</f>
        <v/>
      </c>
      <c r="J11">
        <f>G11-H11</f>
        <v/>
      </c>
      <c r="K11">
        <f>I11*Inputs!$B$3</f>
        <v/>
      </c>
      <c r="L11">
        <f>J11*Inputs!$B$4</f>
        <v/>
      </c>
      <c r="M11">
        <f>K11+L11</f>
        <v/>
      </c>
      <c r="N11">
        <f>N10+M11</f>
        <v/>
      </c>
      <c r="P11">
        <f>IF(Inputs!$B$10="Manual", IF(O11="", P10, O11), W11)</f>
        <v/>
      </c>
      <c r="Q11">
        <f>R10</f>
        <v/>
      </c>
      <c r="R11">
        <f>P10</f>
        <v/>
      </c>
      <c r="S11">
        <f>T10</f>
        <v/>
      </c>
      <c r="T11">
        <f>P10</f>
        <v/>
      </c>
      <c r="U11">
        <f>E11+S11+T11-F11</f>
        <v/>
      </c>
      <c r="V11">
        <f>Inputs!$B$5*Inputs!$B$16</f>
        <v/>
      </c>
      <c r="W11">
        <f>MAX(0, V11-U11)</f>
        <v/>
      </c>
    </row>
    <row r="12">
      <c r="A12" t="n">
        <v>11</v>
      </c>
      <c r="C12">
        <f>'Distributor'!Q12</f>
        <v/>
      </c>
      <c r="D12">
        <f>S12</f>
        <v/>
      </c>
      <c r="E12">
        <f>I11</f>
        <v/>
      </c>
      <c r="F12">
        <f>J11</f>
        <v/>
      </c>
      <c r="G12">
        <f>F12+C12</f>
        <v/>
      </c>
      <c r="H12">
        <f>MIN(E12+D12, G12)</f>
        <v/>
      </c>
      <c r="I12">
        <f>E12+D12-H12</f>
        <v/>
      </c>
      <c r="J12">
        <f>G12-H12</f>
        <v/>
      </c>
      <c r="K12">
        <f>I12*Inputs!$B$3</f>
        <v/>
      </c>
      <c r="L12">
        <f>J12*Inputs!$B$4</f>
        <v/>
      </c>
      <c r="M12">
        <f>K12+L12</f>
        <v/>
      </c>
      <c r="N12">
        <f>N11+M12</f>
        <v/>
      </c>
      <c r="P12">
        <f>IF(Inputs!$B$10="Manual", IF(O12="", P11, O12), W12)</f>
        <v/>
      </c>
      <c r="Q12">
        <f>R11</f>
        <v/>
      </c>
      <c r="R12">
        <f>P11</f>
        <v/>
      </c>
      <c r="S12">
        <f>T11</f>
        <v/>
      </c>
      <c r="T12">
        <f>P11</f>
        <v/>
      </c>
      <c r="U12">
        <f>E12+S12+T12-F12</f>
        <v/>
      </c>
      <c r="V12">
        <f>Inputs!$B$5*Inputs!$B$16</f>
        <v/>
      </c>
      <c r="W12">
        <f>MAX(0, V12-U12)</f>
        <v/>
      </c>
    </row>
    <row r="13">
      <c r="A13" t="n">
        <v>12</v>
      </c>
      <c r="C13">
        <f>'Distributor'!Q13</f>
        <v/>
      </c>
      <c r="D13">
        <f>S13</f>
        <v/>
      </c>
      <c r="E13">
        <f>I12</f>
        <v/>
      </c>
      <c r="F13">
        <f>J12</f>
        <v/>
      </c>
      <c r="G13">
        <f>F13+C13</f>
        <v/>
      </c>
      <c r="H13">
        <f>MIN(E13+D13, G13)</f>
        <v/>
      </c>
      <c r="I13">
        <f>E13+D13-H13</f>
        <v/>
      </c>
      <c r="J13">
        <f>G13-H13</f>
        <v/>
      </c>
      <c r="K13">
        <f>I13*Inputs!$B$3</f>
        <v/>
      </c>
      <c r="L13">
        <f>J13*Inputs!$B$4</f>
        <v/>
      </c>
      <c r="M13">
        <f>K13+L13</f>
        <v/>
      </c>
      <c r="N13">
        <f>N12+M13</f>
        <v/>
      </c>
      <c r="P13">
        <f>IF(Inputs!$B$10="Manual", IF(O13="", P12, O13), W13)</f>
        <v/>
      </c>
      <c r="Q13">
        <f>R12</f>
        <v/>
      </c>
      <c r="R13">
        <f>P12</f>
        <v/>
      </c>
      <c r="S13">
        <f>T12</f>
        <v/>
      </c>
      <c r="T13">
        <f>P12</f>
        <v/>
      </c>
      <c r="U13">
        <f>E13+S13+T13-F13</f>
        <v/>
      </c>
      <c r="V13">
        <f>Inputs!$B$5*Inputs!$B$16</f>
        <v/>
      </c>
      <c r="W13">
        <f>MAX(0, V13-U13)</f>
        <v/>
      </c>
    </row>
    <row r="14">
      <c r="A14" t="n">
        <v>13</v>
      </c>
      <c r="C14">
        <f>'Distributor'!Q14</f>
        <v/>
      </c>
      <c r="D14">
        <f>S14</f>
        <v/>
      </c>
      <c r="E14">
        <f>I13</f>
        <v/>
      </c>
      <c r="F14">
        <f>J13</f>
        <v/>
      </c>
      <c r="G14">
        <f>F14+C14</f>
        <v/>
      </c>
      <c r="H14">
        <f>MIN(E14+D14, G14)</f>
        <v/>
      </c>
      <c r="I14">
        <f>E14+D14-H14</f>
        <v/>
      </c>
      <c r="J14">
        <f>G14-H14</f>
        <v/>
      </c>
      <c r="K14">
        <f>I14*Inputs!$B$3</f>
        <v/>
      </c>
      <c r="L14">
        <f>J14*Inputs!$B$4</f>
        <v/>
      </c>
      <c r="M14">
        <f>K14+L14</f>
        <v/>
      </c>
      <c r="N14">
        <f>N13+M14</f>
        <v/>
      </c>
      <c r="P14">
        <f>IF(Inputs!$B$10="Manual", IF(O14="", P13, O14), W14)</f>
        <v/>
      </c>
      <c r="Q14">
        <f>R13</f>
        <v/>
      </c>
      <c r="R14">
        <f>P13</f>
        <v/>
      </c>
      <c r="S14">
        <f>T13</f>
        <v/>
      </c>
      <c r="T14">
        <f>P13</f>
        <v/>
      </c>
      <c r="U14">
        <f>E14+S14+T14-F14</f>
        <v/>
      </c>
      <c r="V14">
        <f>Inputs!$B$5*Inputs!$B$16</f>
        <v/>
      </c>
      <c r="W14">
        <f>MAX(0, V14-U14)</f>
        <v/>
      </c>
    </row>
    <row r="15">
      <c r="A15" t="n">
        <v>14</v>
      </c>
      <c r="C15">
        <f>'Distributor'!Q15</f>
        <v/>
      </c>
      <c r="D15">
        <f>S15</f>
        <v/>
      </c>
      <c r="E15">
        <f>I14</f>
        <v/>
      </c>
      <c r="F15">
        <f>J14</f>
        <v/>
      </c>
      <c r="G15">
        <f>F15+C15</f>
        <v/>
      </c>
      <c r="H15">
        <f>MIN(E15+D15, G15)</f>
        <v/>
      </c>
      <c r="I15">
        <f>E15+D15-H15</f>
        <v/>
      </c>
      <c r="J15">
        <f>G15-H15</f>
        <v/>
      </c>
      <c r="K15">
        <f>I15*Inputs!$B$3</f>
        <v/>
      </c>
      <c r="L15">
        <f>J15*Inputs!$B$4</f>
        <v/>
      </c>
      <c r="M15">
        <f>K15+L15</f>
        <v/>
      </c>
      <c r="N15">
        <f>N14+M15</f>
        <v/>
      </c>
      <c r="P15">
        <f>IF(Inputs!$B$10="Manual", IF(O15="", P14, O15), W15)</f>
        <v/>
      </c>
      <c r="Q15">
        <f>R14</f>
        <v/>
      </c>
      <c r="R15">
        <f>P14</f>
        <v/>
      </c>
      <c r="S15">
        <f>T14</f>
        <v/>
      </c>
      <c r="T15">
        <f>P14</f>
        <v/>
      </c>
      <c r="U15">
        <f>E15+S15+T15-F15</f>
        <v/>
      </c>
      <c r="V15">
        <f>Inputs!$B$5*Inputs!$B$16</f>
        <v/>
      </c>
      <c r="W15">
        <f>MAX(0, V15-U15)</f>
        <v/>
      </c>
    </row>
    <row r="16">
      <c r="A16" t="n">
        <v>15</v>
      </c>
      <c r="C16">
        <f>'Distributor'!Q16</f>
        <v/>
      </c>
      <c r="D16">
        <f>S16</f>
        <v/>
      </c>
      <c r="E16">
        <f>I15</f>
        <v/>
      </c>
      <c r="F16">
        <f>J15</f>
        <v/>
      </c>
      <c r="G16">
        <f>F16+C16</f>
        <v/>
      </c>
      <c r="H16">
        <f>MIN(E16+D16, G16)</f>
        <v/>
      </c>
      <c r="I16">
        <f>E16+D16-H16</f>
        <v/>
      </c>
      <c r="J16">
        <f>G16-H16</f>
        <v/>
      </c>
      <c r="K16">
        <f>I16*Inputs!$B$3</f>
        <v/>
      </c>
      <c r="L16">
        <f>J16*Inputs!$B$4</f>
        <v/>
      </c>
      <c r="M16">
        <f>K16+L16</f>
        <v/>
      </c>
      <c r="N16">
        <f>N15+M16</f>
        <v/>
      </c>
      <c r="P16">
        <f>IF(Inputs!$B$10="Manual", IF(O16="", P15, O16), W16)</f>
        <v/>
      </c>
      <c r="Q16">
        <f>R15</f>
        <v/>
      </c>
      <c r="R16">
        <f>P15</f>
        <v/>
      </c>
      <c r="S16">
        <f>T15</f>
        <v/>
      </c>
      <c r="T16">
        <f>P15</f>
        <v/>
      </c>
      <c r="U16">
        <f>E16+S16+T16-F16</f>
        <v/>
      </c>
      <c r="V16">
        <f>Inputs!$B$5*Inputs!$B$16</f>
        <v/>
      </c>
      <c r="W16">
        <f>MAX(0, V16-U16)</f>
        <v/>
      </c>
    </row>
    <row r="17">
      <c r="A17" t="n">
        <v>16</v>
      </c>
      <c r="C17">
        <f>'Distributor'!Q17</f>
        <v/>
      </c>
      <c r="D17">
        <f>S17</f>
        <v/>
      </c>
      <c r="E17">
        <f>I16</f>
        <v/>
      </c>
      <c r="F17">
        <f>J16</f>
        <v/>
      </c>
      <c r="G17">
        <f>F17+C17</f>
        <v/>
      </c>
      <c r="H17">
        <f>MIN(E17+D17, G17)</f>
        <v/>
      </c>
      <c r="I17">
        <f>E17+D17-H17</f>
        <v/>
      </c>
      <c r="J17">
        <f>G17-H17</f>
        <v/>
      </c>
      <c r="K17">
        <f>I17*Inputs!$B$3</f>
        <v/>
      </c>
      <c r="L17">
        <f>J17*Inputs!$B$4</f>
        <v/>
      </c>
      <c r="M17">
        <f>K17+L17</f>
        <v/>
      </c>
      <c r="N17">
        <f>N16+M17</f>
        <v/>
      </c>
      <c r="P17">
        <f>IF(Inputs!$B$10="Manual", IF(O17="", P16, O17), W17)</f>
        <v/>
      </c>
      <c r="Q17">
        <f>R16</f>
        <v/>
      </c>
      <c r="R17">
        <f>P16</f>
        <v/>
      </c>
      <c r="S17">
        <f>T16</f>
        <v/>
      </c>
      <c r="T17">
        <f>P16</f>
        <v/>
      </c>
      <c r="U17">
        <f>E17+S17+T17-F17</f>
        <v/>
      </c>
      <c r="V17">
        <f>Inputs!$B$5*Inputs!$B$16</f>
        <v/>
      </c>
      <c r="W17">
        <f>MAX(0, V17-U17)</f>
        <v/>
      </c>
    </row>
    <row r="18">
      <c r="A18" t="n">
        <v>17</v>
      </c>
      <c r="C18">
        <f>'Distributor'!Q18</f>
        <v/>
      </c>
      <c r="D18">
        <f>S18</f>
        <v/>
      </c>
      <c r="E18">
        <f>I17</f>
        <v/>
      </c>
      <c r="F18">
        <f>J17</f>
        <v/>
      </c>
      <c r="G18">
        <f>F18+C18</f>
        <v/>
      </c>
      <c r="H18">
        <f>MIN(E18+D18, G18)</f>
        <v/>
      </c>
      <c r="I18">
        <f>E18+D18-H18</f>
        <v/>
      </c>
      <c r="J18">
        <f>G18-H18</f>
        <v/>
      </c>
      <c r="K18">
        <f>I18*Inputs!$B$3</f>
        <v/>
      </c>
      <c r="L18">
        <f>J18*Inputs!$B$4</f>
        <v/>
      </c>
      <c r="M18">
        <f>K18+L18</f>
        <v/>
      </c>
      <c r="N18">
        <f>N17+M18</f>
        <v/>
      </c>
      <c r="P18">
        <f>IF(Inputs!$B$10="Manual", IF(O18="", P17, O18), W18)</f>
        <v/>
      </c>
      <c r="Q18">
        <f>R17</f>
        <v/>
      </c>
      <c r="R18">
        <f>P17</f>
        <v/>
      </c>
      <c r="S18">
        <f>T17</f>
        <v/>
      </c>
      <c r="T18">
        <f>P17</f>
        <v/>
      </c>
      <c r="U18">
        <f>E18+S18+T18-F18</f>
        <v/>
      </c>
      <c r="V18">
        <f>Inputs!$B$5*Inputs!$B$16</f>
        <v/>
      </c>
      <c r="W18">
        <f>MAX(0, V18-U18)</f>
        <v/>
      </c>
    </row>
    <row r="19">
      <c r="A19" t="n">
        <v>18</v>
      </c>
      <c r="C19">
        <f>'Distributor'!Q19</f>
        <v/>
      </c>
      <c r="D19">
        <f>S19</f>
        <v/>
      </c>
      <c r="E19">
        <f>I18</f>
        <v/>
      </c>
      <c r="F19">
        <f>J18</f>
        <v/>
      </c>
      <c r="G19">
        <f>F19+C19</f>
        <v/>
      </c>
      <c r="H19">
        <f>MIN(E19+D19, G19)</f>
        <v/>
      </c>
      <c r="I19">
        <f>E19+D19-H19</f>
        <v/>
      </c>
      <c r="J19">
        <f>G19-H19</f>
        <v/>
      </c>
      <c r="K19">
        <f>I19*Inputs!$B$3</f>
        <v/>
      </c>
      <c r="L19">
        <f>J19*Inputs!$B$4</f>
        <v/>
      </c>
      <c r="M19">
        <f>K19+L19</f>
        <v/>
      </c>
      <c r="N19">
        <f>N18+M19</f>
        <v/>
      </c>
      <c r="P19">
        <f>IF(Inputs!$B$10="Manual", IF(O19="", P18, O19), W19)</f>
        <v/>
      </c>
      <c r="Q19">
        <f>R18</f>
        <v/>
      </c>
      <c r="R19">
        <f>P18</f>
        <v/>
      </c>
      <c r="S19">
        <f>T18</f>
        <v/>
      </c>
      <c r="T19">
        <f>P18</f>
        <v/>
      </c>
      <c r="U19">
        <f>E19+S19+T19-F19</f>
        <v/>
      </c>
      <c r="V19">
        <f>Inputs!$B$5*Inputs!$B$16</f>
        <v/>
      </c>
      <c r="W19">
        <f>MAX(0, V19-U19)</f>
        <v/>
      </c>
    </row>
    <row r="20">
      <c r="A20" t="n">
        <v>19</v>
      </c>
      <c r="C20">
        <f>'Distributor'!Q20</f>
        <v/>
      </c>
      <c r="D20">
        <f>S20</f>
        <v/>
      </c>
      <c r="E20">
        <f>I19</f>
        <v/>
      </c>
      <c r="F20">
        <f>J19</f>
        <v/>
      </c>
      <c r="G20">
        <f>F20+C20</f>
        <v/>
      </c>
      <c r="H20">
        <f>MIN(E20+D20, G20)</f>
        <v/>
      </c>
      <c r="I20">
        <f>E20+D20-H20</f>
        <v/>
      </c>
      <c r="J20">
        <f>G20-H20</f>
        <v/>
      </c>
      <c r="K20">
        <f>I20*Inputs!$B$3</f>
        <v/>
      </c>
      <c r="L20">
        <f>J20*Inputs!$B$4</f>
        <v/>
      </c>
      <c r="M20">
        <f>K20+L20</f>
        <v/>
      </c>
      <c r="N20">
        <f>N19+M20</f>
        <v/>
      </c>
      <c r="P20">
        <f>IF(Inputs!$B$10="Manual", IF(O20="", P19, O20), W20)</f>
        <v/>
      </c>
      <c r="Q20">
        <f>R19</f>
        <v/>
      </c>
      <c r="R20">
        <f>P19</f>
        <v/>
      </c>
      <c r="S20">
        <f>T19</f>
        <v/>
      </c>
      <c r="T20">
        <f>P19</f>
        <v/>
      </c>
      <c r="U20">
        <f>E20+S20+T20-F20</f>
        <v/>
      </c>
      <c r="V20">
        <f>Inputs!$B$5*Inputs!$B$16</f>
        <v/>
      </c>
      <c r="W20">
        <f>MAX(0, V20-U20)</f>
        <v/>
      </c>
    </row>
    <row r="21">
      <c r="A21" t="n">
        <v>20</v>
      </c>
      <c r="C21">
        <f>'Distributor'!Q21</f>
        <v/>
      </c>
      <c r="D21">
        <f>S21</f>
        <v/>
      </c>
      <c r="E21">
        <f>I20</f>
        <v/>
      </c>
      <c r="F21">
        <f>J20</f>
        <v/>
      </c>
      <c r="G21">
        <f>F21+C21</f>
        <v/>
      </c>
      <c r="H21">
        <f>MIN(E21+D21, G21)</f>
        <v/>
      </c>
      <c r="I21">
        <f>E21+D21-H21</f>
        <v/>
      </c>
      <c r="J21">
        <f>G21-H21</f>
        <v/>
      </c>
      <c r="K21">
        <f>I21*Inputs!$B$3</f>
        <v/>
      </c>
      <c r="L21">
        <f>J21*Inputs!$B$4</f>
        <v/>
      </c>
      <c r="M21">
        <f>K21+L21</f>
        <v/>
      </c>
      <c r="N21">
        <f>N20+M21</f>
        <v/>
      </c>
      <c r="P21">
        <f>IF(Inputs!$B$10="Manual", IF(O21="", P20, O21), W21)</f>
        <v/>
      </c>
      <c r="Q21">
        <f>R20</f>
        <v/>
      </c>
      <c r="R21">
        <f>P20</f>
        <v/>
      </c>
      <c r="S21">
        <f>T20</f>
        <v/>
      </c>
      <c r="T21">
        <f>P20</f>
        <v/>
      </c>
      <c r="U21">
        <f>E21+S21+T21-F21</f>
        <v/>
      </c>
      <c r="V21">
        <f>Inputs!$B$5*Inputs!$B$16</f>
        <v/>
      </c>
      <c r="W21">
        <f>MAX(0, V21-U21)</f>
        <v/>
      </c>
    </row>
    <row r="22">
      <c r="A22" t="n">
        <v>21</v>
      </c>
      <c r="C22">
        <f>'Distributor'!Q22</f>
        <v/>
      </c>
      <c r="D22">
        <f>S22</f>
        <v/>
      </c>
      <c r="E22">
        <f>I21</f>
        <v/>
      </c>
      <c r="F22">
        <f>J21</f>
        <v/>
      </c>
      <c r="G22">
        <f>F22+C22</f>
        <v/>
      </c>
      <c r="H22">
        <f>MIN(E22+D22, G22)</f>
        <v/>
      </c>
      <c r="I22">
        <f>E22+D22-H22</f>
        <v/>
      </c>
      <c r="J22">
        <f>G22-H22</f>
        <v/>
      </c>
      <c r="K22">
        <f>I22*Inputs!$B$3</f>
        <v/>
      </c>
      <c r="L22">
        <f>J22*Inputs!$B$4</f>
        <v/>
      </c>
      <c r="M22">
        <f>K22+L22</f>
        <v/>
      </c>
      <c r="N22">
        <f>N21+M22</f>
        <v/>
      </c>
      <c r="P22">
        <f>IF(Inputs!$B$10="Manual", IF(O22="", P21, O22), W22)</f>
        <v/>
      </c>
      <c r="Q22">
        <f>R21</f>
        <v/>
      </c>
      <c r="R22">
        <f>P21</f>
        <v/>
      </c>
      <c r="S22">
        <f>T21</f>
        <v/>
      </c>
      <c r="T22">
        <f>P21</f>
        <v/>
      </c>
      <c r="U22">
        <f>E22+S22+T22-F22</f>
        <v/>
      </c>
      <c r="V22">
        <f>Inputs!$B$5*Inputs!$B$16</f>
        <v/>
      </c>
      <c r="W22">
        <f>MAX(0, V22-U22)</f>
        <v/>
      </c>
    </row>
    <row r="23">
      <c r="A23" t="n">
        <v>22</v>
      </c>
      <c r="C23">
        <f>'Distributor'!Q23</f>
        <v/>
      </c>
      <c r="D23">
        <f>S23</f>
        <v/>
      </c>
      <c r="E23">
        <f>I22</f>
        <v/>
      </c>
      <c r="F23">
        <f>J22</f>
        <v/>
      </c>
      <c r="G23">
        <f>F23+C23</f>
        <v/>
      </c>
      <c r="H23">
        <f>MIN(E23+D23, G23)</f>
        <v/>
      </c>
      <c r="I23">
        <f>E23+D23-H23</f>
        <v/>
      </c>
      <c r="J23">
        <f>G23-H23</f>
        <v/>
      </c>
      <c r="K23">
        <f>I23*Inputs!$B$3</f>
        <v/>
      </c>
      <c r="L23">
        <f>J23*Inputs!$B$4</f>
        <v/>
      </c>
      <c r="M23">
        <f>K23+L23</f>
        <v/>
      </c>
      <c r="N23">
        <f>N22+M23</f>
        <v/>
      </c>
      <c r="P23">
        <f>IF(Inputs!$B$10="Manual", IF(O23="", P22, O23), W23)</f>
        <v/>
      </c>
      <c r="Q23">
        <f>R22</f>
        <v/>
      </c>
      <c r="R23">
        <f>P22</f>
        <v/>
      </c>
      <c r="S23">
        <f>T22</f>
        <v/>
      </c>
      <c r="T23">
        <f>P22</f>
        <v/>
      </c>
      <c r="U23">
        <f>E23+S23+T23-F23</f>
        <v/>
      </c>
      <c r="V23">
        <f>Inputs!$B$5*Inputs!$B$16</f>
        <v/>
      </c>
      <c r="W23">
        <f>MAX(0, V23-U23)</f>
        <v/>
      </c>
    </row>
    <row r="24">
      <c r="A24" t="n">
        <v>23</v>
      </c>
      <c r="C24">
        <f>'Distributor'!Q24</f>
        <v/>
      </c>
      <c r="D24">
        <f>S24</f>
        <v/>
      </c>
      <c r="E24">
        <f>I23</f>
        <v/>
      </c>
      <c r="F24">
        <f>J23</f>
        <v/>
      </c>
      <c r="G24">
        <f>F24+C24</f>
        <v/>
      </c>
      <c r="H24">
        <f>MIN(E24+D24, G24)</f>
        <v/>
      </c>
      <c r="I24">
        <f>E24+D24-H24</f>
        <v/>
      </c>
      <c r="J24">
        <f>G24-H24</f>
        <v/>
      </c>
      <c r="K24">
        <f>I24*Inputs!$B$3</f>
        <v/>
      </c>
      <c r="L24">
        <f>J24*Inputs!$B$4</f>
        <v/>
      </c>
      <c r="M24">
        <f>K24+L24</f>
        <v/>
      </c>
      <c r="N24">
        <f>N23+M24</f>
        <v/>
      </c>
      <c r="P24">
        <f>IF(Inputs!$B$10="Manual", IF(O24="", P23, O24), W24)</f>
        <v/>
      </c>
      <c r="Q24">
        <f>R23</f>
        <v/>
      </c>
      <c r="R24">
        <f>P23</f>
        <v/>
      </c>
      <c r="S24">
        <f>T23</f>
        <v/>
      </c>
      <c r="T24">
        <f>P23</f>
        <v/>
      </c>
      <c r="U24">
        <f>E24+S24+T24-F24</f>
        <v/>
      </c>
      <c r="V24">
        <f>Inputs!$B$5*Inputs!$B$16</f>
        <v/>
      </c>
      <c r="W24">
        <f>MAX(0, V24-U24)</f>
        <v/>
      </c>
    </row>
    <row r="25">
      <c r="A25" t="n">
        <v>24</v>
      </c>
      <c r="C25">
        <f>'Distributor'!Q25</f>
        <v/>
      </c>
      <c r="D25">
        <f>S25</f>
        <v/>
      </c>
      <c r="E25">
        <f>I24</f>
        <v/>
      </c>
      <c r="F25">
        <f>J24</f>
        <v/>
      </c>
      <c r="G25">
        <f>F25+C25</f>
        <v/>
      </c>
      <c r="H25">
        <f>MIN(E25+D25, G25)</f>
        <v/>
      </c>
      <c r="I25">
        <f>E25+D25-H25</f>
        <v/>
      </c>
      <c r="J25">
        <f>G25-H25</f>
        <v/>
      </c>
      <c r="K25">
        <f>I25*Inputs!$B$3</f>
        <v/>
      </c>
      <c r="L25">
        <f>J25*Inputs!$B$4</f>
        <v/>
      </c>
      <c r="M25">
        <f>K25+L25</f>
        <v/>
      </c>
      <c r="N25">
        <f>N24+M25</f>
        <v/>
      </c>
      <c r="P25">
        <f>IF(Inputs!$B$10="Manual", IF(O25="", P24, O25), W25)</f>
        <v/>
      </c>
      <c r="Q25">
        <f>R24</f>
        <v/>
      </c>
      <c r="R25">
        <f>P24</f>
        <v/>
      </c>
      <c r="S25">
        <f>T24</f>
        <v/>
      </c>
      <c r="T25">
        <f>P24</f>
        <v/>
      </c>
      <c r="U25">
        <f>E25+S25+T25-F25</f>
        <v/>
      </c>
      <c r="V25">
        <f>Inputs!$B$5*Inputs!$B$16</f>
        <v/>
      </c>
      <c r="W25">
        <f>MAX(0, V25-U25)</f>
        <v/>
      </c>
    </row>
    <row r="26">
      <c r="A26" t="n">
        <v>25</v>
      </c>
      <c r="C26">
        <f>'Distributor'!Q26</f>
        <v/>
      </c>
      <c r="D26">
        <f>S26</f>
        <v/>
      </c>
      <c r="E26">
        <f>I25</f>
        <v/>
      </c>
      <c r="F26">
        <f>J25</f>
        <v/>
      </c>
      <c r="G26">
        <f>F26+C26</f>
        <v/>
      </c>
      <c r="H26">
        <f>MIN(E26+D26, G26)</f>
        <v/>
      </c>
      <c r="I26">
        <f>E26+D26-H26</f>
        <v/>
      </c>
      <c r="J26">
        <f>G26-H26</f>
        <v/>
      </c>
      <c r="K26">
        <f>I26*Inputs!$B$3</f>
        <v/>
      </c>
      <c r="L26">
        <f>J26*Inputs!$B$4</f>
        <v/>
      </c>
      <c r="M26">
        <f>K26+L26</f>
        <v/>
      </c>
      <c r="N26">
        <f>N25+M26</f>
        <v/>
      </c>
      <c r="P26">
        <f>IF(Inputs!$B$10="Manual", IF(O26="", P25, O26), W26)</f>
        <v/>
      </c>
      <c r="Q26">
        <f>R25</f>
        <v/>
      </c>
      <c r="R26">
        <f>P25</f>
        <v/>
      </c>
      <c r="S26">
        <f>T25</f>
        <v/>
      </c>
      <c r="T26">
        <f>P25</f>
        <v/>
      </c>
      <c r="U26">
        <f>E26+S26+T26-F26</f>
        <v/>
      </c>
      <c r="V26">
        <f>Inputs!$B$5*Inputs!$B$16</f>
        <v/>
      </c>
      <c r="W26">
        <f>MAX(0, V26-U26)</f>
        <v/>
      </c>
    </row>
    <row r="27">
      <c r="A27" t="n">
        <v>26</v>
      </c>
      <c r="C27">
        <f>'Distributor'!Q27</f>
        <v/>
      </c>
      <c r="D27">
        <f>S27</f>
        <v/>
      </c>
      <c r="E27">
        <f>I26</f>
        <v/>
      </c>
      <c r="F27">
        <f>J26</f>
        <v/>
      </c>
      <c r="G27">
        <f>F27+C27</f>
        <v/>
      </c>
      <c r="H27">
        <f>MIN(E27+D27, G27)</f>
        <v/>
      </c>
      <c r="I27">
        <f>E27+D27-H27</f>
        <v/>
      </c>
      <c r="J27">
        <f>G27-H27</f>
        <v/>
      </c>
      <c r="K27">
        <f>I27*Inputs!$B$3</f>
        <v/>
      </c>
      <c r="L27">
        <f>J27*Inputs!$B$4</f>
        <v/>
      </c>
      <c r="M27">
        <f>K27+L27</f>
        <v/>
      </c>
      <c r="N27">
        <f>N26+M27</f>
        <v/>
      </c>
      <c r="P27">
        <f>IF(Inputs!$B$10="Manual", IF(O27="", P26, O27), W27)</f>
        <v/>
      </c>
      <c r="Q27">
        <f>R26</f>
        <v/>
      </c>
      <c r="R27">
        <f>P26</f>
        <v/>
      </c>
      <c r="S27">
        <f>T26</f>
        <v/>
      </c>
      <c r="T27">
        <f>P26</f>
        <v/>
      </c>
      <c r="U27">
        <f>E27+S27+T27-F27</f>
        <v/>
      </c>
      <c r="V27">
        <f>Inputs!$B$5*Inputs!$B$16</f>
        <v/>
      </c>
      <c r="W27">
        <f>MAX(0, V27-U27)</f>
        <v/>
      </c>
    </row>
    <row r="28">
      <c r="A28" t="n">
        <v>27</v>
      </c>
      <c r="C28">
        <f>'Distributor'!Q28</f>
        <v/>
      </c>
      <c r="D28">
        <f>S28</f>
        <v/>
      </c>
      <c r="E28">
        <f>I27</f>
        <v/>
      </c>
      <c r="F28">
        <f>J27</f>
        <v/>
      </c>
      <c r="G28">
        <f>F28+C28</f>
        <v/>
      </c>
      <c r="H28">
        <f>MIN(E28+D28, G28)</f>
        <v/>
      </c>
      <c r="I28">
        <f>E28+D28-H28</f>
        <v/>
      </c>
      <c r="J28">
        <f>G28-H28</f>
        <v/>
      </c>
      <c r="K28">
        <f>I28*Inputs!$B$3</f>
        <v/>
      </c>
      <c r="L28">
        <f>J28*Inputs!$B$4</f>
        <v/>
      </c>
      <c r="M28">
        <f>K28+L28</f>
        <v/>
      </c>
      <c r="N28">
        <f>N27+M28</f>
        <v/>
      </c>
      <c r="P28">
        <f>IF(Inputs!$B$10="Manual", IF(O28="", P27, O28), W28)</f>
        <v/>
      </c>
      <c r="Q28">
        <f>R27</f>
        <v/>
      </c>
      <c r="R28">
        <f>P27</f>
        <v/>
      </c>
      <c r="S28">
        <f>T27</f>
        <v/>
      </c>
      <c r="T28">
        <f>P27</f>
        <v/>
      </c>
      <c r="U28">
        <f>E28+S28+T28-F28</f>
        <v/>
      </c>
      <c r="V28">
        <f>Inputs!$B$5*Inputs!$B$16</f>
        <v/>
      </c>
      <c r="W28">
        <f>MAX(0, V28-U28)</f>
        <v/>
      </c>
    </row>
    <row r="29">
      <c r="A29" t="n">
        <v>28</v>
      </c>
      <c r="C29">
        <f>'Distributor'!Q29</f>
        <v/>
      </c>
      <c r="D29">
        <f>S29</f>
        <v/>
      </c>
      <c r="E29">
        <f>I28</f>
        <v/>
      </c>
      <c r="F29">
        <f>J28</f>
        <v/>
      </c>
      <c r="G29">
        <f>F29+C29</f>
        <v/>
      </c>
      <c r="H29">
        <f>MIN(E29+D29, G29)</f>
        <v/>
      </c>
      <c r="I29">
        <f>E29+D29-H29</f>
        <v/>
      </c>
      <c r="J29">
        <f>G29-H29</f>
        <v/>
      </c>
      <c r="K29">
        <f>I29*Inputs!$B$3</f>
        <v/>
      </c>
      <c r="L29">
        <f>J29*Inputs!$B$4</f>
        <v/>
      </c>
      <c r="M29">
        <f>K29+L29</f>
        <v/>
      </c>
      <c r="N29">
        <f>N28+M29</f>
        <v/>
      </c>
      <c r="P29">
        <f>IF(Inputs!$B$10="Manual", IF(O29="", P28, O29), W29)</f>
        <v/>
      </c>
      <c r="Q29">
        <f>R28</f>
        <v/>
      </c>
      <c r="R29">
        <f>P28</f>
        <v/>
      </c>
      <c r="S29">
        <f>T28</f>
        <v/>
      </c>
      <c r="T29">
        <f>P28</f>
        <v/>
      </c>
      <c r="U29">
        <f>E29+S29+T29-F29</f>
        <v/>
      </c>
      <c r="V29">
        <f>Inputs!$B$5*Inputs!$B$16</f>
        <v/>
      </c>
      <c r="W29">
        <f>MAX(0, V29-U29)</f>
        <v/>
      </c>
    </row>
    <row r="30">
      <c r="A30" t="n">
        <v>29</v>
      </c>
      <c r="C30">
        <f>'Distributor'!Q30</f>
        <v/>
      </c>
      <c r="D30">
        <f>S30</f>
        <v/>
      </c>
      <c r="E30">
        <f>I29</f>
        <v/>
      </c>
      <c r="F30">
        <f>J29</f>
        <v/>
      </c>
      <c r="G30">
        <f>F30+C30</f>
        <v/>
      </c>
      <c r="H30">
        <f>MIN(E30+D30, G30)</f>
        <v/>
      </c>
      <c r="I30">
        <f>E30+D30-H30</f>
        <v/>
      </c>
      <c r="J30">
        <f>G30-H30</f>
        <v/>
      </c>
      <c r="K30">
        <f>I30*Inputs!$B$3</f>
        <v/>
      </c>
      <c r="L30">
        <f>J30*Inputs!$B$4</f>
        <v/>
      </c>
      <c r="M30">
        <f>K30+L30</f>
        <v/>
      </c>
      <c r="N30">
        <f>N29+M30</f>
        <v/>
      </c>
      <c r="P30">
        <f>IF(Inputs!$B$10="Manual", IF(O30="", P29, O30), W30)</f>
        <v/>
      </c>
      <c r="Q30">
        <f>R29</f>
        <v/>
      </c>
      <c r="R30">
        <f>P29</f>
        <v/>
      </c>
      <c r="S30">
        <f>T29</f>
        <v/>
      </c>
      <c r="T30">
        <f>P29</f>
        <v/>
      </c>
      <c r="U30">
        <f>E30+S30+T30-F30</f>
        <v/>
      </c>
      <c r="V30">
        <f>Inputs!$B$5*Inputs!$B$16</f>
        <v/>
      </c>
      <c r="W30">
        <f>MAX(0, V30-U30)</f>
        <v/>
      </c>
    </row>
    <row r="31">
      <c r="A31" t="n">
        <v>30</v>
      </c>
      <c r="C31">
        <f>'Distributor'!Q31</f>
        <v/>
      </c>
      <c r="D31">
        <f>S31</f>
        <v/>
      </c>
      <c r="E31">
        <f>I30</f>
        <v/>
      </c>
      <c r="F31">
        <f>J30</f>
        <v/>
      </c>
      <c r="G31">
        <f>F31+C31</f>
        <v/>
      </c>
      <c r="H31">
        <f>MIN(E31+D31, G31)</f>
        <v/>
      </c>
      <c r="I31">
        <f>E31+D31-H31</f>
        <v/>
      </c>
      <c r="J31">
        <f>G31-H31</f>
        <v/>
      </c>
      <c r="K31">
        <f>I31*Inputs!$B$3</f>
        <v/>
      </c>
      <c r="L31">
        <f>J31*Inputs!$B$4</f>
        <v/>
      </c>
      <c r="M31">
        <f>K31+L31</f>
        <v/>
      </c>
      <c r="N31">
        <f>N30+M31</f>
        <v/>
      </c>
      <c r="P31">
        <f>IF(Inputs!$B$10="Manual", IF(O31="", P30, O31), W31)</f>
        <v/>
      </c>
      <c r="Q31">
        <f>R30</f>
        <v/>
      </c>
      <c r="R31">
        <f>P30</f>
        <v/>
      </c>
      <c r="S31">
        <f>T30</f>
        <v/>
      </c>
      <c r="T31">
        <f>P30</f>
        <v/>
      </c>
      <c r="U31">
        <f>E31+S31+T31-F31</f>
        <v/>
      </c>
      <c r="V31">
        <f>Inputs!$B$5*Inputs!$B$16</f>
        <v/>
      </c>
      <c r="W31">
        <f>MAX(0, V31-U31)</f>
        <v/>
      </c>
    </row>
    <row r="32">
      <c r="A32" t="n">
        <v>31</v>
      </c>
      <c r="C32">
        <f>'Distributor'!Q32</f>
        <v/>
      </c>
      <c r="D32">
        <f>S32</f>
        <v/>
      </c>
      <c r="E32">
        <f>I31</f>
        <v/>
      </c>
      <c r="F32">
        <f>J31</f>
        <v/>
      </c>
      <c r="G32">
        <f>F32+C32</f>
        <v/>
      </c>
      <c r="H32">
        <f>MIN(E32+D32, G32)</f>
        <v/>
      </c>
      <c r="I32">
        <f>E32+D32-H32</f>
        <v/>
      </c>
      <c r="J32">
        <f>G32-H32</f>
        <v/>
      </c>
      <c r="K32">
        <f>I32*Inputs!$B$3</f>
        <v/>
      </c>
      <c r="L32">
        <f>J32*Inputs!$B$4</f>
        <v/>
      </c>
      <c r="M32">
        <f>K32+L32</f>
        <v/>
      </c>
      <c r="N32">
        <f>N31+M32</f>
        <v/>
      </c>
      <c r="P32">
        <f>IF(Inputs!$B$10="Manual", IF(O32="", P31, O32), W32)</f>
        <v/>
      </c>
      <c r="Q32">
        <f>R31</f>
        <v/>
      </c>
      <c r="R32">
        <f>P31</f>
        <v/>
      </c>
      <c r="S32">
        <f>T31</f>
        <v/>
      </c>
      <c r="T32">
        <f>P31</f>
        <v/>
      </c>
      <c r="U32">
        <f>E32+S32+T32-F32</f>
        <v/>
      </c>
      <c r="V32">
        <f>Inputs!$B$5*Inputs!$B$16</f>
        <v/>
      </c>
      <c r="W32">
        <f>MAX(0, V32-U32)</f>
        <v/>
      </c>
    </row>
    <row r="33">
      <c r="A33" t="n">
        <v>32</v>
      </c>
      <c r="C33">
        <f>'Distributor'!Q33</f>
        <v/>
      </c>
      <c r="D33">
        <f>S33</f>
        <v/>
      </c>
      <c r="E33">
        <f>I32</f>
        <v/>
      </c>
      <c r="F33">
        <f>J32</f>
        <v/>
      </c>
      <c r="G33">
        <f>F33+C33</f>
        <v/>
      </c>
      <c r="H33">
        <f>MIN(E33+D33, G33)</f>
        <v/>
      </c>
      <c r="I33">
        <f>E33+D33-H33</f>
        <v/>
      </c>
      <c r="J33">
        <f>G33-H33</f>
        <v/>
      </c>
      <c r="K33">
        <f>I33*Inputs!$B$3</f>
        <v/>
      </c>
      <c r="L33">
        <f>J33*Inputs!$B$4</f>
        <v/>
      </c>
      <c r="M33">
        <f>K33+L33</f>
        <v/>
      </c>
      <c r="N33">
        <f>N32+M33</f>
        <v/>
      </c>
      <c r="P33">
        <f>IF(Inputs!$B$10="Manual", IF(O33="", P32, O33), W33)</f>
        <v/>
      </c>
      <c r="Q33">
        <f>R32</f>
        <v/>
      </c>
      <c r="R33">
        <f>P32</f>
        <v/>
      </c>
      <c r="S33">
        <f>T32</f>
        <v/>
      </c>
      <c r="T33">
        <f>P32</f>
        <v/>
      </c>
      <c r="U33">
        <f>E33+S33+T33-F33</f>
        <v/>
      </c>
      <c r="V33">
        <f>Inputs!$B$5*Inputs!$B$16</f>
        <v/>
      </c>
      <c r="W33">
        <f>MAX(0, V33-U33)</f>
        <v/>
      </c>
    </row>
    <row r="34">
      <c r="A34" t="n">
        <v>33</v>
      </c>
      <c r="C34">
        <f>'Distributor'!Q34</f>
        <v/>
      </c>
      <c r="D34">
        <f>S34</f>
        <v/>
      </c>
      <c r="E34">
        <f>I33</f>
        <v/>
      </c>
      <c r="F34">
        <f>J33</f>
        <v/>
      </c>
      <c r="G34">
        <f>F34+C34</f>
        <v/>
      </c>
      <c r="H34">
        <f>MIN(E34+D34, G34)</f>
        <v/>
      </c>
      <c r="I34">
        <f>E34+D34-H34</f>
        <v/>
      </c>
      <c r="J34">
        <f>G34-H34</f>
        <v/>
      </c>
      <c r="K34">
        <f>I34*Inputs!$B$3</f>
        <v/>
      </c>
      <c r="L34">
        <f>J34*Inputs!$B$4</f>
        <v/>
      </c>
      <c r="M34">
        <f>K34+L34</f>
        <v/>
      </c>
      <c r="N34">
        <f>N33+M34</f>
        <v/>
      </c>
      <c r="P34">
        <f>IF(Inputs!$B$10="Manual", IF(O34="", P33, O34), W34)</f>
        <v/>
      </c>
      <c r="Q34">
        <f>R33</f>
        <v/>
      </c>
      <c r="R34">
        <f>P33</f>
        <v/>
      </c>
      <c r="S34">
        <f>T33</f>
        <v/>
      </c>
      <c r="T34">
        <f>P33</f>
        <v/>
      </c>
      <c r="U34">
        <f>E34+S34+T34-F34</f>
        <v/>
      </c>
      <c r="V34">
        <f>Inputs!$B$5*Inputs!$B$16</f>
        <v/>
      </c>
      <c r="W34">
        <f>MAX(0, V34-U34)</f>
        <v/>
      </c>
    </row>
    <row r="35">
      <c r="A35" t="n">
        <v>34</v>
      </c>
      <c r="C35">
        <f>'Distributor'!Q35</f>
        <v/>
      </c>
      <c r="D35">
        <f>S35</f>
        <v/>
      </c>
      <c r="E35">
        <f>I34</f>
        <v/>
      </c>
      <c r="F35">
        <f>J34</f>
        <v/>
      </c>
      <c r="G35">
        <f>F35+C35</f>
        <v/>
      </c>
      <c r="H35">
        <f>MIN(E35+D35, G35)</f>
        <v/>
      </c>
      <c r="I35">
        <f>E35+D35-H35</f>
        <v/>
      </c>
      <c r="J35">
        <f>G35-H35</f>
        <v/>
      </c>
      <c r="K35">
        <f>I35*Inputs!$B$3</f>
        <v/>
      </c>
      <c r="L35">
        <f>J35*Inputs!$B$4</f>
        <v/>
      </c>
      <c r="M35">
        <f>K35+L35</f>
        <v/>
      </c>
      <c r="N35">
        <f>N34+M35</f>
        <v/>
      </c>
      <c r="P35">
        <f>IF(Inputs!$B$10="Manual", IF(O35="", P34, O35), W35)</f>
        <v/>
      </c>
      <c r="Q35">
        <f>R34</f>
        <v/>
      </c>
      <c r="R35">
        <f>P34</f>
        <v/>
      </c>
      <c r="S35">
        <f>T34</f>
        <v/>
      </c>
      <c r="T35">
        <f>P34</f>
        <v/>
      </c>
      <c r="U35">
        <f>E35+S35+T35-F35</f>
        <v/>
      </c>
      <c r="V35">
        <f>Inputs!$B$5*Inputs!$B$16</f>
        <v/>
      </c>
      <c r="W35">
        <f>MAX(0, V35-U35)</f>
        <v/>
      </c>
    </row>
    <row r="36">
      <c r="A36" t="n">
        <v>35</v>
      </c>
      <c r="C36">
        <f>'Distributor'!Q36</f>
        <v/>
      </c>
      <c r="D36">
        <f>S36</f>
        <v/>
      </c>
      <c r="E36">
        <f>I35</f>
        <v/>
      </c>
      <c r="F36">
        <f>J35</f>
        <v/>
      </c>
      <c r="G36">
        <f>F36+C36</f>
        <v/>
      </c>
      <c r="H36">
        <f>MIN(E36+D36, G36)</f>
        <v/>
      </c>
      <c r="I36">
        <f>E36+D36-H36</f>
        <v/>
      </c>
      <c r="J36">
        <f>G36-H36</f>
        <v/>
      </c>
      <c r="K36">
        <f>I36*Inputs!$B$3</f>
        <v/>
      </c>
      <c r="L36">
        <f>J36*Inputs!$B$4</f>
        <v/>
      </c>
      <c r="M36">
        <f>K36+L36</f>
        <v/>
      </c>
      <c r="N36">
        <f>N35+M36</f>
        <v/>
      </c>
      <c r="P36">
        <f>IF(Inputs!$B$10="Manual", IF(O36="", P35, O36), W36)</f>
        <v/>
      </c>
      <c r="Q36">
        <f>R35</f>
        <v/>
      </c>
      <c r="R36">
        <f>P35</f>
        <v/>
      </c>
      <c r="S36">
        <f>T35</f>
        <v/>
      </c>
      <c r="T36">
        <f>P35</f>
        <v/>
      </c>
      <c r="U36">
        <f>E36+S36+T36-F36</f>
        <v/>
      </c>
      <c r="V36">
        <f>Inputs!$B$5*Inputs!$B$16</f>
        <v/>
      </c>
      <c r="W36">
        <f>MAX(0, V36-U36)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Retailer_WeekCost</t>
        </is>
      </c>
      <c r="C1" t="inlineStr">
        <is>
          <t>Wholesaler_WeekCost</t>
        </is>
      </c>
      <c r="D1" t="inlineStr">
        <is>
          <t>Distributor_WeekCost</t>
        </is>
      </c>
      <c r="E1" t="inlineStr">
        <is>
          <t>Factory_WeekCost</t>
        </is>
      </c>
      <c r="F1" t="inlineStr">
        <is>
          <t>Total_WeekCost</t>
        </is>
      </c>
      <c r="G1" t="inlineStr">
        <is>
          <t>Total_CumCost</t>
        </is>
      </c>
      <c r="I1" t="inlineStr">
        <is>
          <t>Run Metadata</t>
        </is>
      </c>
      <c r="J1" t="inlineStr">
        <is>
          <t>Value</t>
        </is>
      </c>
    </row>
    <row r="2">
      <c r="A2" t="n">
        <v>1</v>
      </c>
      <c r="B2">
        <f>Retailer!M2</f>
        <v/>
      </c>
      <c r="C2">
        <f>Wholesaler!M2</f>
        <v/>
      </c>
      <c r="D2">
        <f>Distributor!M2</f>
        <v/>
      </c>
      <c r="E2">
        <f>Factory!M2</f>
        <v/>
      </c>
      <c r="F2">
        <f>SUM(B2:E2)</f>
        <v/>
      </c>
      <c r="G2">
        <f>F2</f>
        <v/>
      </c>
      <c r="I2" t="inlineStr">
        <is>
          <t>Scenario</t>
        </is>
      </c>
      <c r="J2">
        <f>Inputs!B24</f>
        <v/>
      </c>
    </row>
    <row r="3">
      <c r="A3" t="n">
        <v>2</v>
      </c>
      <c r="B3">
        <f>Retailer!M3</f>
        <v/>
      </c>
      <c r="C3">
        <f>Wholesaler!M3</f>
        <v/>
      </c>
      <c r="D3">
        <f>Distributor!M3</f>
        <v/>
      </c>
      <c r="E3">
        <f>Factory!M3</f>
        <v/>
      </c>
      <c r="F3">
        <f>SUM(B3:E3)</f>
        <v/>
      </c>
      <c r="G3">
        <f>G2+F3</f>
        <v/>
      </c>
      <c r="I3" t="inlineStr">
        <is>
          <t>DemandLevel</t>
        </is>
      </c>
      <c r="J3">
        <f>Inputs!B25</f>
        <v/>
      </c>
    </row>
    <row r="4">
      <c r="A4" t="n">
        <v>3</v>
      </c>
      <c r="B4">
        <f>Retailer!M4</f>
        <v/>
      </c>
      <c r="C4">
        <f>Wholesaler!M4</f>
        <v/>
      </c>
      <c r="D4">
        <f>Distributor!M4</f>
        <v/>
      </c>
      <c r="E4">
        <f>Factory!M4</f>
        <v/>
      </c>
      <c r="F4">
        <f>SUM(B4:E4)</f>
        <v/>
      </c>
      <c r="G4">
        <f>G3+F4</f>
        <v/>
      </c>
      <c r="I4" t="inlineStr">
        <is>
          <t>Final_Total_Cost</t>
        </is>
      </c>
      <c r="J4">
        <f>G36</f>
        <v/>
      </c>
    </row>
    <row r="5">
      <c r="A5" t="n">
        <v>4</v>
      </c>
      <c r="B5">
        <f>Retailer!M5</f>
        <v/>
      </c>
      <c r="C5">
        <f>Wholesaler!M5</f>
        <v/>
      </c>
      <c r="D5">
        <f>Distributor!M5</f>
        <v/>
      </c>
      <c r="E5">
        <f>Factory!M5</f>
        <v/>
      </c>
      <c r="F5">
        <f>SUM(B5:E5)</f>
        <v/>
      </c>
      <c r="G5">
        <f>G4+F5</f>
        <v/>
      </c>
    </row>
    <row r="6">
      <c r="A6" t="n">
        <v>5</v>
      </c>
      <c r="B6">
        <f>Retailer!M6</f>
        <v/>
      </c>
      <c r="C6">
        <f>Wholesaler!M6</f>
        <v/>
      </c>
      <c r="D6">
        <f>Distributor!M6</f>
        <v/>
      </c>
      <c r="E6">
        <f>Factory!M6</f>
        <v/>
      </c>
      <c r="F6">
        <f>SUM(B6:E6)</f>
        <v/>
      </c>
      <c r="G6">
        <f>G5+F6</f>
        <v/>
      </c>
    </row>
    <row r="7">
      <c r="A7" t="n">
        <v>6</v>
      </c>
      <c r="B7">
        <f>Retailer!M7</f>
        <v/>
      </c>
      <c r="C7">
        <f>Wholesaler!M7</f>
        <v/>
      </c>
      <c r="D7">
        <f>Distributor!M7</f>
        <v/>
      </c>
      <c r="E7">
        <f>Factory!M7</f>
        <v/>
      </c>
      <c r="F7">
        <f>SUM(B7:E7)</f>
        <v/>
      </c>
      <c r="G7">
        <f>G6+F7</f>
        <v/>
      </c>
    </row>
    <row r="8">
      <c r="A8" t="n">
        <v>7</v>
      </c>
      <c r="B8">
        <f>Retailer!M8</f>
        <v/>
      </c>
      <c r="C8">
        <f>Wholesaler!M8</f>
        <v/>
      </c>
      <c r="D8">
        <f>Distributor!M8</f>
        <v/>
      </c>
      <c r="E8">
        <f>Factory!M8</f>
        <v/>
      </c>
      <c r="F8">
        <f>SUM(B8:E8)</f>
        <v/>
      </c>
      <c r="G8">
        <f>G7+F8</f>
        <v/>
      </c>
    </row>
    <row r="9">
      <c r="A9" t="n">
        <v>8</v>
      </c>
      <c r="B9">
        <f>Retailer!M9</f>
        <v/>
      </c>
      <c r="C9">
        <f>Wholesaler!M9</f>
        <v/>
      </c>
      <c r="D9">
        <f>Distributor!M9</f>
        <v/>
      </c>
      <c r="E9">
        <f>Factory!M9</f>
        <v/>
      </c>
      <c r="F9">
        <f>SUM(B9:E9)</f>
        <v/>
      </c>
      <c r="G9">
        <f>G8+F9</f>
        <v/>
      </c>
    </row>
    <row r="10">
      <c r="A10" t="n">
        <v>9</v>
      </c>
      <c r="B10">
        <f>Retailer!M10</f>
        <v/>
      </c>
      <c r="C10">
        <f>Wholesaler!M10</f>
        <v/>
      </c>
      <c r="D10">
        <f>Distributor!M10</f>
        <v/>
      </c>
      <c r="E10">
        <f>Factory!M10</f>
        <v/>
      </c>
      <c r="F10">
        <f>SUM(B10:E10)</f>
        <v/>
      </c>
      <c r="G10">
        <f>G9+F10</f>
        <v/>
      </c>
    </row>
    <row r="11">
      <c r="A11" t="n">
        <v>10</v>
      </c>
      <c r="B11">
        <f>Retailer!M11</f>
        <v/>
      </c>
      <c r="C11">
        <f>Wholesaler!M11</f>
        <v/>
      </c>
      <c r="D11">
        <f>Distributor!M11</f>
        <v/>
      </c>
      <c r="E11">
        <f>Factory!M11</f>
        <v/>
      </c>
      <c r="F11">
        <f>SUM(B11:E11)</f>
        <v/>
      </c>
      <c r="G11">
        <f>G10+F11</f>
        <v/>
      </c>
    </row>
    <row r="12">
      <c r="A12" t="n">
        <v>11</v>
      </c>
      <c r="B12">
        <f>Retailer!M12</f>
        <v/>
      </c>
      <c r="C12">
        <f>Wholesaler!M12</f>
        <v/>
      </c>
      <c r="D12">
        <f>Distributor!M12</f>
        <v/>
      </c>
      <c r="E12">
        <f>Factory!M12</f>
        <v/>
      </c>
      <c r="F12">
        <f>SUM(B12:E12)</f>
        <v/>
      </c>
      <c r="G12">
        <f>G11+F12</f>
        <v/>
      </c>
    </row>
    <row r="13">
      <c r="A13" t="n">
        <v>12</v>
      </c>
      <c r="B13">
        <f>Retailer!M13</f>
        <v/>
      </c>
      <c r="C13">
        <f>Wholesaler!M13</f>
        <v/>
      </c>
      <c r="D13">
        <f>Distributor!M13</f>
        <v/>
      </c>
      <c r="E13">
        <f>Factory!M13</f>
        <v/>
      </c>
      <c r="F13">
        <f>SUM(B13:E13)</f>
        <v/>
      </c>
      <c r="G13">
        <f>G12+F13</f>
        <v/>
      </c>
    </row>
    <row r="14">
      <c r="A14" t="n">
        <v>13</v>
      </c>
      <c r="B14">
        <f>Retailer!M14</f>
        <v/>
      </c>
      <c r="C14">
        <f>Wholesaler!M14</f>
        <v/>
      </c>
      <c r="D14">
        <f>Distributor!M14</f>
        <v/>
      </c>
      <c r="E14">
        <f>Factory!M14</f>
        <v/>
      </c>
      <c r="F14">
        <f>SUM(B14:E14)</f>
        <v/>
      </c>
      <c r="G14">
        <f>G13+F14</f>
        <v/>
      </c>
    </row>
    <row r="15">
      <c r="A15" t="n">
        <v>14</v>
      </c>
      <c r="B15">
        <f>Retailer!M15</f>
        <v/>
      </c>
      <c r="C15">
        <f>Wholesaler!M15</f>
        <v/>
      </c>
      <c r="D15">
        <f>Distributor!M15</f>
        <v/>
      </c>
      <c r="E15">
        <f>Factory!M15</f>
        <v/>
      </c>
      <c r="F15">
        <f>SUM(B15:E15)</f>
        <v/>
      </c>
      <c r="G15">
        <f>G14+F15</f>
        <v/>
      </c>
    </row>
    <row r="16">
      <c r="A16" t="n">
        <v>15</v>
      </c>
      <c r="B16">
        <f>Retailer!M16</f>
        <v/>
      </c>
      <c r="C16">
        <f>Wholesaler!M16</f>
        <v/>
      </c>
      <c r="D16">
        <f>Distributor!M16</f>
        <v/>
      </c>
      <c r="E16">
        <f>Factory!M16</f>
        <v/>
      </c>
      <c r="F16">
        <f>SUM(B16:E16)</f>
        <v/>
      </c>
      <c r="G16">
        <f>G15+F16</f>
        <v/>
      </c>
    </row>
    <row r="17">
      <c r="A17" t="n">
        <v>16</v>
      </c>
      <c r="B17">
        <f>Retailer!M17</f>
        <v/>
      </c>
      <c r="C17">
        <f>Wholesaler!M17</f>
        <v/>
      </c>
      <c r="D17">
        <f>Distributor!M17</f>
        <v/>
      </c>
      <c r="E17">
        <f>Factory!M17</f>
        <v/>
      </c>
      <c r="F17">
        <f>SUM(B17:E17)</f>
        <v/>
      </c>
      <c r="G17">
        <f>G16+F17</f>
        <v/>
      </c>
    </row>
    <row r="18">
      <c r="A18" t="n">
        <v>17</v>
      </c>
      <c r="B18">
        <f>Retailer!M18</f>
        <v/>
      </c>
      <c r="C18">
        <f>Wholesaler!M18</f>
        <v/>
      </c>
      <c r="D18">
        <f>Distributor!M18</f>
        <v/>
      </c>
      <c r="E18">
        <f>Factory!M18</f>
        <v/>
      </c>
      <c r="F18">
        <f>SUM(B18:E18)</f>
        <v/>
      </c>
      <c r="G18">
        <f>G17+F18</f>
        <v/>
      </c>
    </row>
    <row r="19">
      <c r="A19" t="n">
        <v>18</v>
      </c>
      <c r="B19">
        <f>Retailer!M19</f>
        <v/>
      </c>
      <c r="C19">
        <f>Wholesaler!M19</f>
        <v/>
      </c>
      <c r="D19">
        <f>Distributor!M19</f>
        <v/>
      </c>
      <c r="E19">
        <f>Factory!M19</f>
        <v/>
      </c>
      <c r="F19">
        <f>SUM(B19:E19)</f>
        <v/>
      </c>
      <c r="G19">
        <f>G18+F19</f>
        <v/>
      </c>
    </row>
    <row r="20">
      <c r="A20" t="n">
        <v>19</v>
      </c>
      <c r="B20">
        <f>Retailer!M20</f>
        <v/>
      </c>
      <c r="C20">
        <f>Wholesaler!M20</f>
        <v/>
      </c>
      <c r="D20">
        <f>Distributor!M20</f>
        <v/>
      </c>
      <c r="E20">
        <f>Factory!M20</f>
        <v/>
      </c>
      <c r="F20">
        <f>SUM(B20:E20)</f>
        <v/>
      </c>
      <c r="G20">
        <f>G19+F20</f>
        <v/>
      </c>
    </row>
    <row r="21">
      <c r="A21" t="n">
        <v>20</v>
      </c>
      <c r="B21">
        <f>Retailer!M21</f>
        <v/>
      </c>
      <c r="C21">
        <f>Wholesaler!M21</f>
        <v/>
      </c>
      <c r="D21">
        <f>Distributor!M21</f>
        <v/>
      </c>
      <c r="E21">
        <f>Factory!M21</f>
        <v/>
      </c>
      <c r="F21">
        <f>SUM(B21:E21)</f>
        <v/>
      </c>
      <c r="G21">
        <f>G20+F21</f>
        <v/>
      </c>
    </row>
    <row r="22">
      <c r="A22" t="n">
        <v>21</v>
      </c>
      <c r="B22">
        <f>Retailer!M22</f>
        <v/>
      </c>
      <c r="C22">
        <f>Wholesaler!M22</f>
        <v/>
      </c>
      <c r="D22">
        <f>Distributor!M22</f>
        <v/>
      </c>
      <c r="E22">
        <f>Factory!M22</f>
        <v/>
      </c>
      <c r="F22">
        <f>SUM(B22:E22)</f>
        <v/>
      </c>
      <c r="G22">
        <f>G21+F22</f>
        <v/>
      </c>
    </row>
    <row r="23">
      <c r="A23" t="n">
        <v>22</v>
      </c>
      <c r="B23">
        <f>Retailer!M23</f>
        <v/>
      </c>
      <c r="C23">
        <f>Wholesaler!M23</f>
        <v/>
      </c>
      <c r="D23">
        <f>Distributor!M23</f>
        <v/>
      </c>
      <c r="E23">
        <f>Factory!M23</f>
        <v/>
      </c>
      <c r="F23">
        <f>SUM(B23:E23)</f>
        <v/>
      </c>
      <c r="G23">
        <f>G22+F23</f>
        <v/>
      </c>
    </row>
    <row r="24">
      <c r="A24" t="n">
        <v>23</v>
      </c>
      <c r="B24">
        <f>Retailer!M24</f>
        <v/>
      </c>
      <c r="C24">
        <f>Wholesaler!M24</f>
        <v/>
      </c>
      <c r="D24">
        <f>Distributor!M24</f>
        <v/>
      </c>
      <c r="E24">
        <f>Factory!M24</f>
        <v/>
      </c>
      <c r="F24">
        <f>SUM(B24:E24)</f>
        <v/>
      </c>
      <c r="G24">
        <f>G23+F24</f>
        <v/>
      </c>
    </row>
    <row r="25">
      <c r="A25" t="n">
        <v>24</v>
      </c>
      <c r="B25">
        <f>Retailer!M25</f>
        <v/>
      </c>
      <c r="C25">
        <f>Wholesaler!M25</f>
        <v/>
      </c>
      <c r="D25">
        <f>Distributor!M25</f>
        <v/>
      </c>
      <c r="E25">
        <f>Factory!M25</f>
        <v/>
      </c>
      <c r="F25">
        <f>SUM(B25:E25)</f>
        <v/>
      </c>
      <c r="G25">
        <f>G24+F25</f>
        <v/>
      </c>
    </row>
    <row r="26">
      <c r="A26" t="n">
        <v>25</v>
      </c>
      <c r="B26">
        <f>Retailer!M26</f>
        <v/>
      </c>
      <c r="C26">
        <f>Wholesaler!M26</f>
        <v/>
      </c>
      <c r="D26">
        <f>Distributor!M26</f>
        <v/>
      </c>
      <c r="E26">
        <f>Factory!M26</f>
        <v/>
      </c>
      <c r="F26">
        <f>SUM(B26:E26)</f>
        <v/>
      </c>
      <c r="G26">
        <f>G25+F26</f>
        <v/>
      </c>
    </row>
    <row r="27">
      <c r="A27" t="n">
        <v>26</v>
      </c>
      <c r="B27">
        <f>Retailer!M27</f>
        <v/>
      </c>
      <c r="C27">
        <f>Wholesaler!M27</f>
        <v/>
      </c>
      <c r="D27">
        <f>Distributor!M27</f>
        <v/>
      </c>
      <c r="E27">
        <f>Factory!M27</f>
        <v/>
      </c>
      <c r="F27">
        <f>SUM(B27:E27)</f>
        <v/>
      </c>
      <c r="G27">
        <f>G26+F27</f>
        <v/>
      </c>
    </row>
    <row r="28">
      <c r="A28" t="n">
        <v>27</v>
      </c>
      <c r="B28">
        <f>Retailer!M28</f>
        <v/>
      </c>
      <c r="C28">
        <f>Wholesaler!M28</f>
        <v/>
      </c>
      <c r="D28">
        <f>Distributor!M28</f>
        <v/>
      </c>
      <c r="E28">
        <f>Factory!M28</f>
        <v/>
      </c>
      <c r="F28">
        <f>SUM(B28:E28)</f>
        <v/>
      </c>
      <c r="G28">
        <f>G27+F28</f>
        <v/>
      </c>
    </row>
    <row r="29">
      <c r="A29" t="n">
        <v>28</v>
      </c>
      <c r="B29">
        <f>Retailer!M29</f>
        <v/>
      </c>
      <c r="C29">
        <f>Wholesaler!M29</f>
        <v/>
      </c>
      <c r="D29">
        <f>Distributor!M29</f>
        <v/>
      </c>
      <c r="E29">
        <f>Factory!M29</f>
        <v/>
      </c>
      <c r="F29">
        <f>SUM(B29:E29)</f>
        <v/>
      </c>
      <c r="G29">
        <f>G28+F29</f>
        <v/>
      </c>
    </row>
    <row r="30">
      <c r="A30" t="n">
        <v>29</v>
      </c>
      <c r="B30">
        <f>Retailer!M30</f>
        <v/>
      </c>
      <c r="C30">
        <f>Wholesaler!M30</f>
        <v/>
      </c>
      <c r="D30">
        <f>Distributor!M30</f>
        <v/>
      </c>
      <c r="E30">
        <f>Factory!M30</f>
        <v/>
      </c>
      <c r="F30">
        <f>SUM(B30:E30)</f>
        <v/>
      </c>
      <c r="G30">
        <f>G29+F30</f>
        <v/>
      </c>
    </row>
    <row r="31">
      <c r="A31" t="n">
        <v>30</v>
      </c>
      <c r="B31">
        <f>Retailer!M31</f>
        <v/>
      </c>
      <c r="C31">
        <f>Wholesaler!M31</f>
        <v/>
      </c>
      <c r="D31">
        <f>Distributor!M31</f>
        <v/>
      </c>
      <c r="E31">
        <f>Factory!M31</f>
        <v/>
      </c>
      <c r="F31">
        <f>SUM(B31:E31)</f>
        <v/>
      </c>
      <c r="G31">
        <f>G30+F31</f>
        <v/>
      </c>
    </row>
    <row r="32">
      <c r="A32" t="n">
        <v>31</v>
      </c>
      <c r="B32">
        <f>Retailer!M32</f>
        <v/>
      </c>
      <c r="C32">
        <f>Wholesaler!M32</f>
        <v/>
      </c>
      <c r="D32">
        <f>Distributor!M32</f>
        <v/>
      </c>
      <c r="E32">
        <f>Factory!M32</f>
        <v/>
      </c>
      <c r="F32">
        <f>SUM(B32:E32)</f>
        <v/>
      </c>
      <c r="G32">
        <f>G31+F32</f>
        <v/>
      </c>
    </row>
    <row r="33">
      <c r="A33" t="n">
        <v>32</v>
      </c>
      <c r="B33">
        <f>Retailer!M33</f>
        <v/>
      </c>
      <c r="C33">
        <f>Wholesaler!M33</f>
        <v/>
      </c>
      <c r="D33">
        <f>Distributor!M33</f>
        <v/>
      </c>
      <c r="E33">
        <f>Factory!M33</f>
        <v/>
      </c>
      <c r="F33">
        <f>SUM(B33:E33)</f>
        <v/>
      </c>
      <c r="G33">
        <f>G32+F33</f>
        <v/>
      </c>
    </row>
    <row r="34">
      <c r="A34" t="n">
        <v>33</v>
      </c>
      <c r="B34">
        <f>Retailer!M34</f>
        <v/>
      </c>
      <c r="C34">
        <f>Wholesaler!M34</f>
        <v/>
      </c>
      <c r="D34">
        <f>Distributor!M34</f>
        <v/>
      </c>
      <c r="E34">
        <f>Factory!M34</f>
        <v/>
      </c>
      <c r="F34">
        <f>SUM(B34:E34)</f>
        <v/>
      </c>
      <c r="G34">
        <f>G33+F34</f>
        <v/>
      </c>
    </row>
    <row r="35">
      <c r="A35" t="n">
        <v>34</v>
      </c>
      <c r="B35">
        <f>Retailer!M35</f>
        <v/>
      </c>
      <c r="C35">
        <f>Wholesaler!M35</f>
        <v/>
      </c>
      <c r="D35">
        <f>Distributor!M35</f>
        <v/>
      </c>
      <c r="E35">
        <f>Factory!M35</f>
        <v/>
      </c>
      <c r="F35">
        <f>SUM(B35:E35)</f>
        <v/>
      </c>
      <c r="G35">
        <f>G34+F35</f>
        <v/>
      </c>
    </row>
    <row r="36">
      <c r="A36" t="n">
        <v>35</v>
      </c>
      <c r="B36">
        <f>Retailer!M36</f>
        <v/>
      </c>
      <c r="C36">
        <f>Wholesaler!M36</f>
        <v/>
      </c>
      <c r="D36">
        <f>Distributor!M36</f>
        <v/>
      </c>
      <c r="E36">
        <f>Factory!M36</f>
        <v/>
      </c>
      <c r="F36">
        <f>SUM(B36:E36)</f>
        <v/>
      </c>
      <c r="G36">
        <f>G35+F36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A1" s="1">
        <f>Inputs!B24</f>
        <v/>
      </c>
    </row>
    <row r="2">
      <c r="A2" s="2" t="inlineStr">
        <is>
          <t>Edit Inputs to change demand, costs, and policy parameters.</t>
        </is>
      </c>
    </row>
    <row r="3">
      <c r="A3" s="3" t="n"/>
      <c r="B3" s="3" t="inlineStr">
        <is>
          <t>Retailer</t>
        </is>
      </c>
      <c r="K3" s="3" t="inlineStr">
        <is>
          <t>Wholesaler</t>
        </is>
      </c>
      <c r="T3" s="3" t="inlineStr">
        <is>
          <t>Distributor</t>
        </is>
      </c>
      <c r="AC3" s="3" t="inlineStr">
        <is>
          <t>Factory</t>
        </is>
      </c>
      <c r="AL3" s="3" t="inlineStr">
        <is>
          <t>Total</t>
        </is>
      </c>
    </row>
    <row r="4">
      <c r="A4" s="4" t="n"/>
      <c r="B4" s="4" t="inlineStr">
        <is>
          <t>In</t>
        </is>
      </c>
      <c r="C4" s="4" t="inlineStr">
        <is>
          <t>Recv</t>
        </is>
      </c>
      <c r="D4" s="4" t="inlineStr">
        <is>
          <t>Ship</t>
        </is>
      </c>
      <c r="E4" s="4" t="inlineStr">
        <is>
          <t>InvEnd</t>
        </is>
      </c>
      <c r="F4" s="4" t="inlineStr">
        <is>
          <t>BackEnd</t>
        </is>
      </c>
      <c r="G4" s="4" t="inlineStr">
        <is>
          <t>OrderOut</t>
        </is>
      </c>
      <c r="H4" s="4" t="inlineStr">
        <is>
          <t>InvCost</t>
        </is>
      </c>
      <c r="I4" s="4" t="inlineStr">
        <is>
          <t>BackCost</t>
        </is>
      </c>
      <c r="J4" s="4" t="inlineStr">
        <is>
          <t>WeekCost</t>
        </is>
      </c>
      <c r="K4" s="4" t="inlineStr">
        <is>
          <t>In</t>
        </is>
      </c>
      <c r="L4" s="4" t="inlineStr">
        <is>
          <t>Recv</t>
        </is>
      </c>
      <c r="M4" s="4" t="inlineStr">
        <is>
          <t>Ship</t>
        </is>
      </c>
      <c r="N4" s="4" t="inlineStr">
        <is>
          <t>InvEnd</t>
        </is>
      </c>
      <c r="O4" s="4" t="inlineStr">
        <is>
          <t>BackEnd</t>
        </is>
      </c>
      <c r="P4" s="4" t="inlineStr">
        <is>
          <t>OrderOut</t>
        </is>
      </c>
      <c r="Q4" s="4" t="inlineStr">
        <is>
          <t>InvCost</t>
        </is>
      </c>
      <c r="R4" s="4" t="inlineStr">
        <is>
          <t>BackCost</t>
        </is>
      </c>
      <c r="S4" s="4" t="inlineStr">
        <is>
          <t>WeekCost</t>
        </is>
      </c>
      <c r="T4" s="4" t="inlineStr">
        <is>
          <t>In</t>
        </is>
      </c>
      <c r="U4" s="4" t="inlineStr">
        <is>
          <t>Recv</t>
        </is>
      </c>
      <c r="V4" s="4" t="inlineStr">
        <is>
          <t>Ship</t>
        </is>
      </c>
      <c r="W4" s="4" t="inlineStr">
        <is>
          <t>InvEnd</t>
        </is>
      </c>
      <c r="X4" s="4" t="inlineStr">
        <is>
          <t>BackEnd</t>
        </is>
      </c>
      <c r="Y4" s="4" t="inlineStr">
        <is>
          <t>OrderOut</t>
        </is>
      </c>
      <c r="Z4" s="4" t="inlineStr">
        <is>
          <t>InvCost</t>
        </is>
      </c>
      <c r="AA4" s="4" t="inlineStr">
        <is>
          <t>BackCost</t>
        </is>
      </c>
      <c r="AB4" s="4" t="inlineStr">
        <is>
          <t>WeekCost</t>
        </is>
      </c>
      <c r="AC4" s="4" t="inlineStr">
        <is>
          <t>In</t>
        </is>
      </c>
      <c r="AD4" s="4" t="inlineStr">
        <is>
          <t>Recv</t>
        </is>
      </c>
      <c r="AE4" s="4" t="inlineStr">
        <is>
          <t>Ship</t>
        </is>
      </c>
      <c r="AF4" s="4" t="inlineStr">
        <is>
          <t>InvEnd</t>
        </is>
      </c>
      <c r="AG4" s="4" t="inlineStr">
        <is>
          <t>BackEnd</t>
        </is>
      </c>
      <c r="AH4" s="4" t="inlineStr">
        <is>
          <t>OrderOut</t>
        </is>
      </c>
      <c r="AI4" s="4" t="inlineStr">
        <is>
          <t>InvCost</t>
        </is>
      </c>
      <c r="AJ4" s="4" t="inlineStr">
        <is>
          <t>BackCost</t>
        </is>
      </c>
      <c r="AK4" s="4" t="inlineStr">
        <is>
          <t>WeekCost</t>
        </is>
      </c>
      <c r="AL4" s="4" t="inlineStr">
        <is>
          <t>TotWeekCost</t>
        </is>
      </c>
      <c r="AM4" s="4" t="inlineStr">
        <is>
          <t>CumCost</t>
        </is>
      </c>
    </row>
    <row r="5">
      <c r="A5" s="5" t="n">
        <v>1</v>
      </c>
      <c r="B5" s="5">
        <f>Retailer!C2</f>
        <v/>
      </c>
      <c r="C5" s="5">
        <f>Retailer!D2</f>
        <v/>
      </c>
      <c r="D5" s="5">
        <f>Retailer!H2</f>
        <v/>
      </c>
      <c r="E5" s="5">
        <f>Retailer!I2</f>
        <v/>
      </c>
      <c r="F5" s="5">
        <f>Retailer!J2</f>
        <v/>
      </c>
      <c r="G5" s="5">
        <f>Retailer!P2</f>
        <v/>
      </c>
      <c r="H5" s="5">
        <f>Retailer!K2</f>
        <v/>
      </c>
      <c r="I5" s="5">
        <f>Retailer!L2</f>
        <v/>
      </c>
      <c r="J5" s="5">
        <f>Retailer!M2</f>
        <v/>
      </c>
      <c r="K5" s="5">
        <f>Wholesaler!C2</f>
        <v/>
      </c>
      <c r="L5" s="5">
        <f>Wholesaler!D2</f>
        <v/>
      </c>
      <c r="M5" s="5">
        <f>Wholesaler!H2</f>
        <v/>
      </c>
      <c r="N5" s="5">
        <f>Wholesaler!I2</f>
        <v/>
      </c>
      <c r="O5" s="5">
        <f>Wholesaler!J2</f>
        <v/>
      </c>
      <c r="P5" s="5">
        <f>Wholesaler!P2</f>
        <v/>
      </c>
      <c r="Q5" s="5">
        <f>Wholesaler!K2</f>
        <v/>
      </c>
      <c r="R5" s="5">
        <f>Wholesaler!L2</f>
        <v/>
      </c>
      <c r="S5" s="5">
        <f>Wholesaler!M2</f>
        <v/>
      </c>
      <c r="T5" s="5">
        <f>Distributor!C2</f>
        <v/>
      </c>
      <c r="U5" s="5">
        <f>Distributor!D2</f>
        <v/>
      </c>
      <c r="V5" s="5">
        <f>Distributor!H2</f>
        <v/>
      </c>
      <c r="W5" s="5">
        <f>Distributor!I2</f>
        <v/>
      </c>
      <c r="X5" s="5">
        <f>Distributor!J2</f>
        <v/>
      </c>
      <c r="Y5" s="5">
        <f>Distributor!P2</f>
        <v/>
      </c>
      <c r="Z5" s="5">
        <f>Distributor!K2</f>
        <v/>
      </c>
      <c r="AA5" s="5">
        <f>Distributor!L2</f>
        <v/>
      </c>
      <c r="AB5" s="5">
        <f>Distributor!M2</f>
        <v/>
      </c>
      <c r="AC5" s="5">
        <f>Factory!C2</f>
        <v/>
      </c>
      <c r="AD5" s="5">
        <f>Factory!D2</f>
        <v/>
      </c>
      <c r="AE5" s="5">
        <f>Factory!H2</f>
        <v/>
      </c>
      <c r="AF5" s="5">
        <f>Factory!I2</f>
        <v/>
      </c>
      <c r="AG5" s="5">
        <f>Factory!J2</f>
        <v/>
      </c>
      <c r="AH5" s="5">
        <f>Factory!P2</f>
        <v/>
      </c>
      <c r="AI5" s="5">
        <f>Factory!K2</f>
        <v/>
      </c>
      <c r="AJ5" s="5">
        <f>Factory!L2</f>
        <v/>
      </c>
      <c r="AK5" s="5">
        <f>Factory!M2</f>
        <v/>
      </c>
      <c r="AL5" s="5">
        <f>SUM(J5,S5,AB5,AK5)</f>
        <v/>
      </c>
      <c r="AM5" s="5">
        <f>AL5</f>
        <v/>
      </c>
    </row>
    <row r="6">
      <c r="A6" s="5" t="n">
        <v>2</v>
      </c>
      <c r="B6" s="5">
        <f>Retailer!C3</f>
        <v/>
      </c>
      <c r="C6" s="5">
        <f>Retailer!D3</f>
        <v/>
      </c>
      <c r="D6" s="5">
        <f>Retailer!H3</f>
        <v/>
      </c>
      <c r="E6" s="5">
        <f>Retailer!I3</f>
        <v/>
      </c>
      <c r="F6" s="5">
        <f>Retailer!J3</f>
        <v/>
      </c>
      <c r="G6" s="5">
        <f>Retailer!P3</f>
        <v/>
      </c>
      <c r="H6" s="5">
        <f>Retailer!K3</f>
        <v/>
      </c>
      <c r="I6" s="5">
        <f>Retailer!L3</f>
        <v/>
      </c>
      <c r="J6" s="5">
        <f>Retailer!M3</f>
        <v/>
      </c>
      <c r="K6" s="5">
        <f>Wholesaler!C3</f>
        <v/>
      </c>
      <c r="L6" s="5">
        <f>Wholesaler!D3</f>
        <v/>
      </c>
      <c r="M6" s="5">
        <f>Wholesaler!H3</f>
        <v/>
      </c>
      <c r="N6" s="5">
        <f>Wholesaler!I3</f>
        <v/>
      </c>
      <c r="O6" s="5">
        <f>Wholesaler!J3</f>
        <v/>
      </c>
      <c r="P6" s="5">
        <f>Wholesaler!P3</f>
        <v/>
      </c>
      <c r="Q6" s="5">
        <f>Wholesaler!K3</f>
        <v/>
      </c>
      <c r="R6" s="5">
        <f>Wholesaler!L3</f>
        <v/>
      </c>
      <c r="S6" s="5">
        <f>Wholesaler!M3</f>
        <v/>
      </c>
      <c r="T6" s="5">
        <f>Distributor!C3</f>
        <v/>
      </c>
      <c r="U6" s="5">
        <f>Distributor!D3</f>
        <v/>
      </c>
      <c r="V6" s="5">
        <f>Distributor!H3</f>
        <v/>
      </c>
      <c r="W6" s="5">
        <f>Distributor!I3</f>
        <v/>
      </c>
      <c r="X6" s="5">
        <f>Distributor!J3</f>
        <v/>
      </c>
      <c r="Y6" s="5">
        <f>Distributor!P3</f>
        <v/>
      </c>
      <c r="Z6" s="5">
        <f>Distributor!K3</f>
        <v/>
      </c>
      <c r="AA6" s="5">
        <f>Distributor!L3</f>
        <v/>
      </c>
      <c r="AB6" s="5">
        <f>Distributor!M3</f>
        <v/>
      </c>
      <c r="AC6" s="5">
        <f>Factory!C3</f>
        <v/>
      </c>
      <c r="AD6" s="5">
        <f>Factory!D3</f>
        <v/>
      </c>
      <c r="AE6" s="5">
        <f>Factory!H3</f>
        <v/>
      </c>
      <c r="AF6" s="5">
        <f>Factory!I3</f>
        <v/>
      </c>
      <c r="AG6" s="5">
        <f>Factory!J3</f>
        <v/>
      </c>
      <c r="AH6" s="5">
        <f>Factory!P3</f>
        <v/>
      </c>
      <c r="AI6" s="5">
        <f>Factory!K3</f>
        <v/>
      </c>
      <c r="AJ6" s="5">
        <f>Factory!L3</f>
        <v/>
      </c>
      <c r="AK6" s="5">
        <f>Factory!M3</f>
        <v/>
      </c>
      <c r="AL6" s="5">
        <f>SUM(J6,S6,AB6,AK6)</f>
        <v/>
      </c>
      <c r="AM6" s="5">
        <f>AM5+AL6</f>
        <v/>
      </c>
    </row>
    <row r="7">
      <c r="A7" s="5" t="n">
        <v>3</v>
      </c>
      <c r="B7" s="5">
        <f>Retailer!C4</f>
        <v/>
      </c>
      <c r="C7" s="5">
        <f>Retailer!D4</f>
        <v/>
      </c>
      <c r="D7" s="5">
        <f>Retailer!H4</f>
        <v/>
      </c>
      <c r="E7" s="5">
        <f>Retailer!I4</f>
        <v/>
      </c>
      <c r="F7" s="5">
        <f>Retailer!J4</f>
        <v/>
      </c>
      <c r="G7" s="5">
        <f>Retailer!P4</f>
        <v/>
      </c>
      <c r="H7" s="5">
        <f>Retailer!K4</f>
        <v/>
      </c>
      <c r="I7" s="5">
        <f>Retailer!L4</f>
        <v/>
      </c>
      <c r="J7" s="5">
        <f>Retailer!M4</f>
        <v/>
      </c>
      <c r="K7" s="5">
        <f>Wholesaler!C4</f>
        <v/>
      </c>
      <c r="L7" s="5">
        <f>Wholesaler!D4</f>
        <v/>
      </c>
      <c r="M7" s="5">
        <f>Wholesaler!H4</f>
        <v/>
      </c>
      <c r="N7" s="5">
        <f>Wholesaler!I4</f>
        <v/>
      </c>
      <c r="O7" s="5">
        <f>Wholesaler!J4</f>
        <v/>
      </c>
      <c r="P7" s="5">
        <f>Wholesaler!P4</f>
        <v/>
      </c>
      <c r="Q7" s="5">
        <f>Wholesaler!K4</f>
        <v/>
      </c>
      <c r="R7" s="5">
        <f>Wholesaler!L4</f>
        <v/>
      </c>
      <c r="S7" s="5">
        <f>Wholesaler!M4</f>
        <v/>
      </c>
      <c r="T7" s="5">
        <f>Distributor!C4</f>
        <v/>
      </c>
      <c r="U7" s="5">
        <f>Distributor!D4</f>
        <v/>
      </c>
      <c r="V7" s="5">
        <f>Distributor!H4</f>
        <v/>
      </c>
      <c r="W7" s="5">
        <f>Distributor!I4</f>
        <v/>
      </c>
      <c r="X7" s="5">
        <f>Distributor!J4</f>
        <v/>
      </c>
      <c r="Y7" s="5">
        <f>Distributor!P4</f>
        <v/>
      </c>
      <c r="Z7" s="5">
        <f>Distributor!K4</f>
        <v/>
      </c>
      <c r="AA7" s="5">
        <f>Distributor!L4</f>
        <v/>
      </c>
      <c r="AB7" s="5">
        <f>Distributor!M4</f>
        <v/>
      </c>
      <c r="AC7" s="5">
        <f>Factory!C4</f>
        <v/>
      </c>
      <c r="AD7" s="5">
        <f>Factory!D4</f>
        <v/>
      </c>
      <c r="AE7" s="5">
        <f>Factory!H4</f>
        <v/>
      </c>
      <c r="AF7" s="5">
        <f>Factory!I4</f>
        <v/>
      </c>
      <c r="AG7" s="5">
        <f>Factory!J4</f>
        <v/>
      </c>
      <c r="AH7" s="5">
        <f>Factory!P4</f>
        <v/>
      </c>
      <c r="AI7" s="5">
        <f>Factory!K4</f>
        <v/>
      </c>
      <c r="AJ7" s="5">
        <f>Factory!L4</f>
        <v/>
      </c>
      <c r="AK7" s="5">
        <f>Factory!M4</f>
        <v/>
      </c>
      <c r="AL7" s="5">
        <f>SUM(J7,S7,AB7,AK7)</f>
        <v/>
      </c>
      <c r="AM7" s="5">
        <f>AM6+AL7</f>
        <v/>
      </c>
    </row>
    <row r="8">
      <c r="A8" s="5" t="n">
        <v>4</v>
      </c>
      <c r="B8" s="5">
        <f>Retailer!C5</f>
        <v/>
      </c>
      <c r="C8" s="5">
        <f>Retailer!D5</f>
        <v/>
      </c>
      <c r="D8" s="5">
        <f>Retailer!H5</f>
        <v/>
      </c>
      <c r="E8" s="5">
        <f>Retailer!I5</f>
        <v/>
      </c>
      <c r="F8" s="5">
        <f>Retailer!J5</f>
        <v/>
      </c>
      <c r="G8" s="5">
        <f>Retailer!P5</f>
        <v/>
      </c>
      <c r="H8" s="5">
        <f>Retailer!K5</f>
        <v/>
      </c>
      <c r="I8" s="5">
        <f>Retailer!L5</f>
        <v/>
      </c>
      <c r="J8" s="5">
        <f>Retailer!M5</f>
        <v/>
      </c>
      <c r="K8" s="5">
        <f>Wholesaler!C5</f>
        <v/>
      </c>
      <c r="L8" s="5">
        <f>Wholesaler!D5</f>
        <v/>
      </c>
      <c r="M8" s="5">
        <f>Wholesaler!H5</f>
        <v/>
      </c>
      <c r="N8" s="5">
        <f>Wholesaler!I5</f>
        <v/>
      </c>
      <c r="O8" s="5">
        <f>Wholesaler!J5</f>
        <v/>
      </c>
      <c r="P8" s="5">
        <f>Wholesaler!P5</f>
        <v/>
      </c>
      <c r="Q8" s="5">
        <f>Wholesaler!K5</f>
        <v/>
      </c>
      <c r="R8" s="5">
        <f>Wholesaler!L5</f>
        <v/>
      </c>
      <c r="S8" s="5">
        <f>Wholesaler!M5</f>
        <v/>
      </c>
      <c r="T8" s="5">
        <f>Distributor!C5</f>
        <v/>
      </c>
      <c r="U8" s="5">
        <f>Distributor!D5</f>
        <v/>
      </c>
      <c r="V8" s="5">
        <f>Distributor!H5</f>
        <v/>
      </c>
      <c r="W8" s="5">
        <f>Distributor!I5</f>
        <v/>
      </c>
      <c r="X8" s="5">
        <f>Distributor!J5</f>
        <v/>
      </c>
      <c r="Y8" s="5">
        <f>Distributor!P5</f>
        <v/>
      </c>
      <c r="Z8" s="5">
        <f>Distributor!K5</f>
        <v/>
      </c>
      <c r="AA8" s="5">
        <f>Distributor!L5</f>
        <v/>
      </c>
      <c r="AB8" s="5">
        <f>Distributor!M5</f>
        <v/>
      </c>
      <c r="AC8" s="5">
        <f>Factory!C5</f>
        <v/>
      </c>
      <c r="AD8" s="5">
        <f>Factory!D5</f>
        <v/>
      </c>
      <c r="AE8" s="5">
        <f>Factory!H5</f>
        <v/>
      </c>
      <c r="AF8" s="5">
        <f>Factory!I5</f>
        <v/>
      </c>
      <c r="AG8" s="5">
        <f>Factory!J5</f>
        <v/>
      </c>
      <c r="AH8" s="5">
        <f>Factory!P5</f>
        <v/>
      </c>
      <c r="AI8" s="5">
        <f>Factory!K5</f>
        <v/>
      </c>
      <c r="AJ8" s="5">
        <f>Factory!L5</f>
        <v/>
      </c>
      <c r="AK8" s="5">
        <f>Factory!M5</f>
        <v/>
      </c>
      <c r="AL8" s="5">
        <f>SUM(J8,S8,AB8,AK8)</f>
        <v/>
      </c>
      <c r="AM8" s="5">
        <f>AM7+AL8</f>
        <v/>
      </c>
    </row>
    <row r="9">
      <c r="A9" s="5" t="n">
        <v>5</v>
      </c>
      <c r="B9" s="5">
        <f>Retailer!C6</f>
        <v/>
      </c>
      <c r="C9" s="5">
        <f>Retailer!D6</f>
        <v/>
      </c>
      <c r="D9" s="5">
        <f>Retailer!H6</f>
        <v/>
      </c>
      <c r="E9" s="5">
        <f>Retailer!I6</f>
        <v/>
      </c>
      <c r="F9" s="5">
        <f>Retailer!J6</f>
        <v/>
      </c>
      <c r="G9" s="5">
        <f>Retailer!P6</f>
        <v/>
      </c>
      <c r="H9" s="5">
        <f>Retailer!K6</f>
        <v/>
      </c>
      <c r="I9" s="5">
        <f>Retailer!L6</f>
        <v/>
      </c>
      <c r="J9" s="5">
        <f>Retailer!M6</f>
        <v/>
      </c>
      <c r="K9" s="5">
        <f>Wholesaler!C6</f>
        <v/>
      </c>
      <c r="L9" s="5">
        <f>Wholesaler!D6</f>
        <v/>
      </c>
      <c r="M9" s="5">
        <f>Wholesaler!H6</f>
        <v/>
      </c>
      <c r="N9" s="5">
        <f>Wholesaler!I6</f>
        <v/>
      </c>
      <c r="O9" s="5">
        <f>Wholesaler!J6</f>
        <v/>
      </c>
      <c r="P9" s="5">
        <f>Wholesaler!P6</f>
        <v/>
      </c>
      <c r="Q9" s="5">
        <f>Wholesaler!K6</f>
        <v/>
      </c>
      <c r="R9" s="5">
        <f>Wholesaler!L6</f>
        <v/>
      </c>
      <c r="S9" s="5">
        <f>Wholesaler!M6</f>
        <v/>
      </c>
      <c r="T9" s="5">
        <f>Distributor!C6</f>
        <v/>
      </c>
      <c r="U9" s="5">
        <f>Distributor!D6</f>
        <v/>
      </c>
      <c r="V9" s="5">
        <f>Distributor!H6</f>
        <v/>
      </c>
      <c r="W9" s="5">
        <f>Distributor!I6</f>
        <v/>
      </c>
      <c r="X9" s="5">
        <f>Distributor!J6</f>
        <v/>
      </c>
      <c r="Y9" s="5">
        <f>Distributor!P6</f>
        <v/>
      </c>
      <c r="Z9" s="5">
        <f>Distributor!K6</f>
        <v/>
      </c>
      <c r="AA9" s="5">
        <f>Distributor!L6</f>
        <v/>
      </c>
      <c r="AB9" s="5">
        <f>Distributor!M6</f>
        <v/>
      </c>
      <c r="AC9" s="5">
        <f>Factory!C6</f>
        <v/>
      </c>
      <c r="AD9" s="5">
        <f>Factory!D6</f>
        <v/>
      </c>
      <c r="AE9" s="5">
        <f>Factory!H6</f>
        <v/>
      </c>
      <c r="AF9" s="5">
        <f>Factory!I6</f>
        <v/>
      </c>
      <c r="AG9" s="5">
        <f>Factory!J6</f>
        <v/>
      </c>
      <c r="AH9" s="5">
        <f>Factory!P6</f>
        <v/>
      </c>
      <c r="AI9" s="5">
        <f>Factory!K6</f>
        <v/>
      </c>
      <c r="AJ9" s="5">
        <f>Factory!L6</f>
        <v/>
      </c>
      <c r="AK9" s="5">
        <f>Factory!M6</f>
        <v/>
      </c>
      <c r="AL9" s="5">
        <f>SUM(J9,S9,AB9,AK9)</f>
        <v/>
      </c>
      <c r="AM9" s="5">
        <f>AM8+AL9</f>
        <v/>
      </c>
    </row>
    <row r="10">
      <c r="A10" s="5" t="n">
        <v>6</v>
      </c>
      <c r="B10" s="5">
        <f>Retailer!C7</f>
        <v/>
      </c>
      <c r="C10" s="5">
        <f>Retailer!D7</f>
        <v/>
      </c>
      <c r="D10" s="5">
        <f>Retailer!H7</f>
        <v/>
      </c>
      <c r="E10" s="5">
        <f>Retailer!I7</f>
        <v/>
      </c>
      <c r="F10" s="5">
        <f>Retailer!J7</f>
        <v/>
      </c>
      <c r="G10" s="5">
        <f>Retailer!P7</f>
        <v/>
      </c>
      <c r="H10" s="5">
        <f>Retailer!K7</f>
        <v/>
      </c>
      <c r="I10" s="5">
        <f>Retailer!L7</f>
        <v/>
      </c>
      <c r="J10" s="5">
        <f>Retailer!M7</f>
        <v/>
      </c>
      <c r="K10" s="5">
        <f>Wholesaler!C7</f>
        <v/>
      </c>
      <c r="L10" s="5">
        <f>Wholesaler!D7</f>
        <v/>
      </c>
      <c r="M10" s="5">
        <f>Wholesaler!H7</f>
        <v/>
      </c>
      <c r="N10" s="5">
        <f>Wholesaler!I7</f>
        <v/>
      </c>
      <c r="O10" s="5">
        <f>Wholesaler!J7</f>
        <v/>
      </c>
      <c r="P10" s="5">
        <f>Wholesaler!P7</f>
        <v/>
      </c>
      <c r="Q10" s="5">
        <f>Wholesaler!K7</f>
        <v/>
      </c>
      <c r="R10" s="5">
        <f>Wholesaler!L7</f>
        <v/>
      </c>
      <c r="S10" s="5">
        <f>Wholesaler!M7</f>
        <v/>
      </c>
      <c r="T10" s="5">
        <f>Distributor!C7</f>
        <v/>
      </c>
      <c r="U10" s="5">
        <f>Distributor!D7</f>
        <v/>
      </c>
      <c r="V10" s="5">
        <f>Distributor!H7</f>
        <v/>
      </c>
      <c r="W10" s="5">
        <f>Distributor!I7</f>
        <v/>
      </c>
      <c r="X10" s="5">
        <f>Distributor!J7</f>
        <v/>
      </c>
      <c r="Y10" s="5">
        <f>Distributor!P7</f>
        <v/>
      </c>
      <c r="Z10" s="5">
        <f>Distributor!K7</f>
        <v/>
      </c>
      <c r="AA10" s="5">
        <f>Distributor!L7</f>
        <v/>
      </c>
      <c r="AB10" s="5">
        <f>Distributor!M7</f>
        <v/>
      </c>
      <c r="AC10" s="5">
        <f>Factory!C7</f>
        <v/>
      </c>
      <c r="AD10" s="5">
        <f>Factory!D7</f>
        <v/>
      </c>
      <c r="AE10" s="5">
        <f>Factory!H7</f>
        <v/>
      </c>
      <c r="AF10" s="5">
        <f>Factory!I7</f>
        <v/>
      </c>
      <c r="AG10" s="5">
        <f>Factory!J7</f>
        <v/>
      </c>
      <c r="AH10" s="5">
        <f>Factory!P7</f>
        <v/>
      </c>
      <c r="AI10" s="5">
        <f>Factory!K7</f>
        <v/>
      </c>
      <c r="AJ10" s="5">
        <f>Factory!L7</f>
        <v/>
      </c>
      <c r="AK10" s="5">
        <f>Factory!M7</f>
        <v/>
      </c>
      <c r="AL10" s="5">
        <f>SUM(J10,S10,AB10,AK10)</f>
        <v/>
      </c>
      <c r="AM10" s="5">
        <f>AM9+AL10</f>
        <v/>
      </c>
    </row>
    <row r="11">
      <c r="A11" s="5" t="n">
        <v>7</v>
      </c>
      <c r="B11" s="5">
        <f>Retailer!C8</f>
        <v/>
      </c>
      <c r="C11" s="5">
        <f>Retailer!D8</f>
        <v/>
      </c>
      <c r="D11" s="5">
        <f>Retailer!H8</f>
        <v/>
      </c>
      <c r="E11" s="5">
        <f>Retailer!I8</f>
        <v/>
      </c>
      <c r="F11" s="5">
        <f>Retailer!J8</f>
        <v/>
      </c>
      <c r="G11" s="5">
        <f>Retailer!P8</f>
        <v/>
      </c>
      <c r="H11" s="5">
        <f>Retailer!K8</f>
        <v/>
      </c>
      <c r="I11" s="5">
        <f>Retailer!L8</f>
        <v/>
      </c>
      <c r="J11" s="5">
        <f>Retailer!M8</f>
        <v/>
      </c>
      <c r="K11" s="5">
        <f>Wholesaler!C8</f>
        <v/>
      </c>
      <c r="L11" s="5">
        <f>Wholesaler!D8</f>
        <v/>
      </c>
      <c r="M11" s="5">
        <f>Wholesaler!H8</f>
        <v/>
      </c>
      <c r="N11" s="5">
        <f>Wholesaler!I8</f>
        <v/>
      </c>
      <c r="O11" s="5">
        <f>Wholesaler!J8</f>
        <v/>
      </c>
      <c r="P11" s="5">
        <f>Wholesaler!P8</f>
        <v/>
      </c>
      <c r="Q11" s="5">
        <f>Wholesaler!K8</f>
        <v/>
      </c>
      <c r="R11" s="5">
        <f>Wholesaler!L8</f>
        <v/>
      </c>
      <c r="S11" s="5">
        <f>Wholesaler!M8</f>
        <v/>
      </c>
      <c r="T11" s="5">
        <f>Distributor!C8</f>
        <v/>
      </c>
      <c r="U11" s="5">
        <f>Distributor!D8</f>
        <v/>
      </c>
      <c r="V11" s="5">
        <f>Distributor!H8</f>
        <v/>
      </c>
      <c r="W11" s="5">
        <f>Distributor!I8</f>
        <v/>
      </c>
      <c r="X11" s="5">
        <f>Distributor!J8</f>
        <v/>
      </c>
      <c r="Y11" s="5">
        <f>Distributor!P8</f>
        <v/>
      </c>
      <c r="Z11" s="5">
        <f>Distributor!K8</f>
        <v/>
      </c>
      <c r="AA11" s="5">
        <f>Distributor!L8</f>
        <v/>
      </c>
      <c r="AB11" s="5">
        <f>Distributor!M8</f>
        <v/>
      </c>
      <c r="AC11" s="5">
        <f>Factory!C8</f>
        <v/>
      </c>
      <c r="AD11" s="5">
        <f>Factory!D8</f>
        <v/>
      </c>
      <c r="AE11" s="5">
        <f>Factory!H8</f>
        <v/>
      </c>
      <c r="AF11" s="5">
        <f>Factory!I8</f>
        <v/>
      </c>
      <c r="AG11" s="5">
        <f>Factory!J8</f>
        <v/>
      </c>
      <c r="AH11" s="5">
        <f>Factory!P8</f>
        <v/>
      </c>
      <c r="AI11" s="5">
        <f>Factory!K8</f>
        <v/>
      </c>
      <c r="AJ11" s="5">
        <f>Factory!L8</f>
        <v/>
      </c>
      <c r="AK11" s="5">
        <f>Factory!M8</f>
        <v/>
      </c>
      <c r="AL11" s="5">
        <f>SUM(J11,S11,AB11,AK11)</f>
        <v/>
      </c>
      <c r="AM11" s="5">
        <f>AM10+AL11</f>
        <v/>
      </c>
    </row>
    <row r="12">
      <c r="A12" s="5" t="n">
        <v>8</v>
      </c>
      <c r="B12" s="5">
        <f>Retailer!C9</f>
        <v/>
      </c>
      <c r="C12" s="5">
        <f>Retailer!D9</f>
        <v/>
      </c>
      <c r="D12" s="5">
        <f>Retailer!H9</f>
        <v/>
      </c>
      <c r="E12" s="5">
        <f>Retailer!I9</f>
        <v/>
      </c>
      <c r="F12" s="5">
        <f>Retailer!J9</f>
        <v/>
      </c>
      <c r="G12" s="5">
        <f>Retailer!P9</f>
        <v/>
      </c>
      <c r="H12" s="5">
        <f>Retailer!K9</f>
        <v/>
      </c>
      <c r="I12" s="5">
        <f>Retailer!L9</f>
        <v/>
      </c>
      <c r="J12" s="5">
        <f>Retailer!M9</f>
        <v/>
      </c>
      <c r="K12" s="5">
        <f>Wholesaler!C9</f>
        <v/>
      </c>
      <c r="L12" s="5">
        <f>Wholesaler!D9</f>
        <v/>
      </c>
      <c r="M12" s="5">
        <f>Wholesaler!H9</f>
        <v/>
      </c>
      <c r="N12" s="5">
        <f>Wholesaler!I9</f>
        <v/>
      </c>
      <c r="O12" s="5">
        <f>Wholesaler!J9</f>
        <v/>
      </c>
      <c r="P12" s="5">
        <f>Wholesaler!P9</f>
        <v/>
      </c>
      <c r="Q12" s="5">
        <f>Wholesaler!K9</f>
        <v/>
      </c>
      <c r="R12" s="5">
        <f>Wholesaler!L9</f>
        <v/>
      </c>
      <c r="S12" s="5">
        <f>Wholesaler!M9</f>
        <v/>
      </c>
      <c r="T12" s="5">
        <f>Distributor!C9</f>
        <v/>
      </c>
      <c r="U12" s="5">
        <f>Distributor!D9</f>
        <v/>
      </c>
      <c r="V12" s="5">
        <f>Distributor!H9</f>
        <v/>
      </c>
      <c r="W12" s="5">
        <f>Distributor!I9</f>
        <v/>
      </c>
      <c r="X12" s="5">
        <f>Distributor!J9</f>
        <v/>
      </c>
      <c r="Y12" s="5">
        <f>Distributor!P9</f>
        <v/>
      </c>
      <c r="Z12" s="5">
        <f>Distributor!K9</f>
        <v/>
      </c>
      <c r="AA12" s="5">
        <f>Distributor!L9</f>
        <v/>
      </c>
      <c r="AB12" s="5">
        <f>Distributor!M9</f>
        <v/>
      </c>
      <c r="AC12" s="5">
        <f>Factory!C9</f>
        <v/>
      </c>
      <c r="AD12" s="5">
        <f>Factory!D9</f>
        <v/>
      </c>
      <c r="AE12" s="5">
        <f>Factory!H9</f>
        <v/>
      </c>
      <c r="AF12" s="5">
        <f>Factory!I9</f>
        <v/>
      </c>
      <c r="AG12" s="5">
        <f>Factory!J9</f>
        <v/>
      </c>
      <c r="AH12" s="5">
        <f>Factory!P9</f>
        <v/>
      </c>
      <c r="AI12" s="5">
        <f>Factory!K9</f>
        <v/>
      </c>
      <c r="AJ12" s="5">
        <f>Factory!L9</f>
        <v/>
      </c>
      <c r="AK12" s="5">
        <f>Factory!M9</f>
        <v/>
      </c>
      <c r="AL12" s="5">
        <f>SUM(J12,S12,AB12,AK12)</f>
        <v/>
      </c>
      <c r="AM12" s="5">
        <f>AM11+AL12</f>
        <v/>
      </c>
    </row>
    <row r="13">
      <c r="A13" s="5" t="n">
        <v>9</v>
      </c>
      <c r="B13" s="5">
        <f>Retailer!C10</f>
        <v/>
      </c>
      <c r="C13" s="5">
        <f>Retailer!D10</f>
        <v/>
      </c>
      <c r="D13" s="5">
        <f>Retailer!H10</f>
        <v/>
      </c>
      <c r="E13" s="5">
        <f>Retailer!I10</f>
        <v/>
      </c>
      <c r="F13" s="5">
        <f>Retailer!J10</f>
        <v/>
      </c>
      <c r="G13" s="5">
        <f>Retailer!P10</f>
        <v/>
      </c>
      <c r="H13" s="5">
        <f>Retailer!K10</f>
        <v/>
      </c>
      <c r="I13" s="5">
        <f>Retailer!L10</f>
        <v/>
      </c>
      <c r="J13" s="5">
        <f>Retailer!M10</f>
        <v/>
      </c>
      <c r="K13" s="5">
        <f>Wholesaler!C10</f>
        <v/>
      </c>
      <c r="L13" s="5">
        <f>Wholesaler!D10</f>
        <v/>
      </c>
      <c r="M13" s="5">
        <f>Wholesaler!H10</f>
        <v/>
      </c>
      <c r="N13" s="5">
        <f>Wholesaler!I10</f>
        <v/>
      </c>
      <c r="O13" s="5">
        <f>Wholesaler!J10</f>
        <v/>
      </c>
      <c r="P13" s="5">
        <f>Wholesaler!P10</f>
        <v/>
      </c>
      <c r="Q13" s="5">
        <f>Wholesaler!K10</f>
        <v/>
      </c>
      <c r="R13" s="5">
        <f>Wholesaler!L10</f>
        <v/>
      </c>
      <c r="S13" s="5">
        <f>Wholesaler!M10</f>
        <v/>
      </c>
      <c r="T13" s="5">
        <f>Distributor!C10</f>
        <v/>
      </c>
      <c r="U13" s="5">
        <f>Distributor!D10</f>
        <v/>
      </c>
      <c r="V13" s="5">
        <f>Distributor!H10</f>
        <v/>
      </c>
      <c r="W13" s="5">
        <f>Distributor!I10</f>
        <v/>
      </c>
      <c r="X13" s="5">
        <f>Distributor!J10</f>
        <v/>
      </c>
      <c r="Y13" s="5">
        <f>Distributor!P10</f>
        <v/>
      </c>
      <c r="Z13" s="5">
        <f>Distributor!K10</f>
        <v/>
      </c>
      <c r="AA13" s="5">
        <f>Distributor!L10</f>
        <v/>
      </c>
      <c r="AB13" s="5">
        <f>Distributor!M10</f>
        <v/>
      </c>
      <c r="AC13" s="5">
        <f>Factory!C10</f>
        <v/>
      </c>
      <c r="AD13" s="5">
        <f>Factory!D10</f>
        <v/>
      </c>
      <c r="AE13" s="5">
        <f>Factory!H10</f>
        <v/>
      </c>
      <c r="AF13" s="5">
        <f>Factory!I10</f>
        <v/>
      </c>
      <c r="AG13" s="5">
        <f>Factory!J10</f>
        <v/>
      </c>
      <c r="AH13" s="5">
        <f>Factory!P10</f>
        <v/>
      </c>
      <c r="AI13" s="5">
        <f>Factory!K10</f>
        <v/>
      </c>
      <c r="AJ13" s="5">
        <f>Factory!L10</f>
        <v/>
      </c>
      <c r="AK13" s="5">
        <f>Factory!M10</f>
        <v/>
      </c>
      <c r="AL13" s="5">
        <f>SUM(J13,S13,AB13,AK13)</f>
        <v/>
      </c>
      <c r="AM13" s="5">
        <f>AM12+AL13</f>
        <v/>
      </c>
    </row>
    <row r="14">
      <c r="A14" s="5" t="n">
        <v>10</v>
      </c>
      <c r="B14" s="5">
        <f>Retailer!C11</f>
        <v/>
      </c>
      <c r="C14" s="5">
        <f>Retailer!D11</f>
        <v/>
      </c>
      <c r="D14" s="5">
        <f>Retailer!H11</f>
        <v/>
      </c>
      <c r="E14" s="5">
        <f>Retailer!I11</f>
        <v/>
      </c>
      <c r="F14" s="5">
        <f>Retailer!J11</f>
        <v/>
      </c>
      <c r="G14" s="5">
        <f>Retailer!P11</f>
        <v/>
      </c>
      <c r="H14" s="5">
        <f>Retailer!K11</f>
        <v/>
      </c>
      <c r="I14" s="5">
        <f>Retailer!L11</f>
        <v/>
      </c>
      <c r="J14" s="5">
        <f>Retailer!M11</f>
        <v/>
      </c>
      <c r="K14" s="5">
        <f>Wholesaler!C11</f>
        <v/>
      </c>
      <c r="L14" s="5">
        <f>Wholesaler!D11</f>
        <v/>
      </c>
      <c r="M14" s="5">
        <f>Wholesaler!H11</f>
        <v/>
      </c>
      <c r="N14" s="5">
        <f>Wholesaler!I11</f>
        <v/>
      </c>
      <c r="O14" s="5">
        <f>Wholesaler!J11</f>
        <v/>
      </c>
      <c r="P14" s="5">
        <f>Wholesaler!P11</f>
        <v/>
      </c>
      <c r="Q14" s="5">
        <f>Wholesaler!K11</f>
        <v/>
      </c>
      <c r="R14" s="5">
        <f>Wholesaler!L11</f>
        <v/>
      </c>
      <c r="S14" s="5">
        <f>Wholesaler!M11</f>
        <v/>
      </c>
      <c r="T14" s="5">
        <f>Distributor!C11</f>
        <v/>
      </c>
      <c r="U14" s="5">
        <f>Distributor!D11</f>
        <v/>
      </c>
      <c r="V14" s="5">
        <f>Distributor!H11</f>
        <v/>
      </c>
      <c r="W14" s="5">
        <f>Distributor!I11</f>
        <v/>
      </c>
      <c r="X14" s="5">
        <f>Distributor!J11</f>
        <v/>
      </c>
      <c r="Y14" s="5">
        <f>Distributor!P11</f>
        <v/>
      </c>
      <c r="Z14" s="5">
        <f>Distributor!K11</f>
        <v/>
      </c>
      <c r="AA14" s="5">
        <f>Distributor!L11</f>
        <v/>
      </c>
      <c r="AB14" s="5">
        <f>Distributor!M11</f>
        <v/>
      </c>
      <c r="AC14" s="5">
        <f>Factory!C11</f>
        <v/>
      </c>
      <c r="AD14" s="5">
        <f>Factory!D11</f>
        <v/>
      </c>
      <c r="AE14" s="5">
        <f>Factory!H11</f>
        <v/>
      </c>
      <c r="AF14" s="5">
        <f>Factory!I11</f>
        <v/>
      </c>
      <c r="AG14" s="5">
        <f>Factory!J11</f>
        <v/>
      </c>
      <c r="AH14" s="5">
        <f>Factory!P11</f>
        <v/>
      </c>
      <c r="AI14" s="5">
        <f>Factory!K11</f>
        <v/>
      </c>
      <c r="AJ14" s="5">
        <f>Factory!L11</f>
        <v/>
      </c>
      <c r="AK14" s="5">
        <f>Factory!M11</f>
        <v/>
      </c>
      <c r="AL14" s="5">
        <f>SUM(J14,S14,AB14,AK14)</f>
        <v/>
      </c>
      <c r="AM14" s="5">
        <f>AM13+AL14</f>
        <v/>
      </c>
    </row>
    <row r="15">
      <c r="A15" s="5" t="n">
        <v>11</v>
      </c>
      <c r="B15" s="5">
        <f>Retailer!C12</f>
        <v/>
      </c>
      <c r="C15" s="5">
        <f>Retailer!D12</f>
        <v/>
      </c>
      <c r="D15" s="5">
        <f>Retailer!H12</f>
        <v/>
      </c>
      <c r="E15" s="5">
        <f>Retailer!I12</f>
        <v/>
      </c>
      <c r="F15" s="5">
        <f>Retailer!J12</f>
        <v/>
      </c>
      <c r="G15" s="5">
        <f>Retailer!P12</f>
        <v/>
      </c>
      <c r="H15" s="5">
        <f>Retailer!K12</f>
        <v/>
      </c>
      <c r="I15" s="5">
        <f>Retailer!L12</f>
        <v/>
      </c>
      <c r="J15" s="5">
        <f>Retailer!M12</f>
        <v/>
      </c>
      <c r="K15" s="5">
        <f>Wholesaler!C12</f>
        <v/>
      </c>
      <c r="L15" s="5">
        <f>Wholesaler!D12</f>
        <v/>
      </c>
      <c r="M15" s="5">
        <f>Wholesaler!H12</f>
        <v/>
      </c>
      <c r="N15" s="5">
        <f>Wholesaler!I12</f>
        <v/>
      </c>
      <c r="O15" s="5">
        <f>Wholesaler!J12</f>
        <v/>
      </c>
      <c r="P15" s="5">
        <f>Wholesaler!P12</f>
        <v/>
      </c>
      <c r="Q15" s="5">
        <f>Wholesaler!K12</f>
        <v/>
      </c>
      <c r="R15" s="5">
        <f>Wholesaler!L12</f>
        <v/>
      </c>
      <c r="S15" s="5">
        <f>Wholesaler!M12</f>
        <v/>
      </c>
      <c r="T15" s="5">
        <f>Distributor!C12</f>
        <v/>
      </c>
      <c r="U15" s="5">
        <f>Distributor!D12</f>
        <v/>
      </c>
      <c r="V15" s="5">
        <f>Distributor!H12</f>
        <v/>
      </c>
      <c r="W15" s="5">
        <f>Distributor!I12</f>
        <v/>
      </c>
      <c r="X15" s="5">
        <f>Distributor!J12</f>
        <v/>
      </c>
      <c r="Y15" s="5">
        <f>Distributor!P12</f>
        <v/>
      </c>
      <c r="Z15" s="5">
        <f>Distributor!K12</f>
        <v/>
      </c>
      <c r="AA15" s="5">
        <f>Distributor!L12</f>
        <v/>
      </c>
      <c r="AB15" s="5">
        <f>Distributor!M12</f>
        <v/>
      </c>
      <c r="AC15" s="5">
        <f>Factory!C12</f>
        <v/>
      </c>
      <c r="AD15" s="5">
        <f>Factory!D12</f>
        <v/>
      </c>
      <c r="AE15" s="5">
        <f>Factory!H12</f>
        <v/>
      </c>
      <c r="AF15" s="5">
        <f>Factory!I12</f>
        <v/>
      </c>
      <c r="AG15" s="5">
        <f>Factory!J12</f>
        <v/>
      </c>
      <c r="AH15" s="5">
        <f>Factory!P12</f>
        <v/>
      </c>
      <c r="AI15" s="5">
        <f>Factory!K12</f>
        <v/>
      </c>
      <c r="AJ15" s="5">
        <f>Factory!L12</f>
        <v/>
      </c>
      <c r="AK15" s="5">
        <f>Factory!M12</f>
        <v/>
      </c>
      <c r="AL15" s="5">
        <f>SUM(J15,S15,AB15,AK15)</f>
        <v/>
      </c>
      <c r="AM15" s="5">
        <f>AM14+AL15</f>
        <v/>
      </c>
    </row>
    <row r="16">
      <c r="A16" s="5" t="n">
        <v>12</v>
      </c>
      <c r="B16" s="5">
        <f>Retailer!C13</f>
        <v/>
      </c>
      <c r="C16" s="5">
        <f>Retailer!D13</f>
        <v/>
      </c>
      <c r="D16" s="5">
        <f>Retailer!H13</f>
        <v/>
      </c>
      <c r="E16" s="5">
        <f>Retailer!I13</f>
        <v/>
      </c>
      <c r="F16" s="5">
        <f>Retailer!J13</f>
        <v/>
      </c>
      <c r="G16" s="5">
        <f>Retailer!P13</f>
        <v/>
      </c>
      <c r="H16" s="5">
        <f>Retailer!K13</f>
        <v/>
      </c>
      <c r="I16" s="5">
        <f>Retailer!L13</f>
        <v/>
      </c>
      <c r="J16" s="5">
        <f>Retailer!M13</f>
        <v/>
      </c>
      <c r="K16" s="5">
        <f>Wholesaler!C13</f>
        <v/>
      </c>
      <c r="L16" s="5">
        <f>Wholesaler!D13</f>
        <v/>
      </c>
      <c r="M16" s="5">
        <f>Wholesaler!H13</f>
        <v/>
      </c>
      <c r="N16" s="5">
        <f>Wholesaler!I13</f>
        <v/>
      </c>
      <c r="O16" s="5">
        <f>Wholesaler!J13</f>
        <v/>
      </c>
      <c r="P16" s="5">
        <f>Wholesaler!P13</f>
        <v/>
      </c>
      <c r="Q16" s="5">
        <f>Wholesaler!K13</f>
        <v/>
      </c>
      <c r="R16" s="5">
        <f>Wholesaler!L13</f>
        <v/>
      </c>
      <c r="S16" s="5">
        <f>Wholesaler!M13</f>
        <v/>
      </c>
      <c r="T16" s="5">
        <f>Distributor!C13</f>
        <v/>
      </c>
      <c r="U16" s="5">
        <f>Distributor!D13</f>
        <v/>
      </c>
      <c r="V16" s="5">
        <f>Distributor!H13</f>
        <v/>
      </c>
      <c r="W16" s="5">
        <f>Distributor!I13</f>
        <v/>
      </c>
      <c r="X16" s="5">
        <f>Distributor!J13</f>
        <v/>
      </c>
      <c r="Y16" s="5">
        <f>Distributor!P13</f>
        <v/>
      </c>
      <c r="Z16" s="5">
        <f>Distributor!K13</f>
        <v/>
      </c>
      <c r="AA16" s="5">
        <f>Distributor!L13</f>
        <v/>
      </c>
      <c r="AB16" s="5">
        <f>Distributor!M13</f>
        <v/>
      </c>
      <c r="AC16" s="5">
        <f>Factory!C13</f>
        <v/>
      </c>
      <c r="AD16" s="5">
        <f>Factory!D13</f>
        <v/>
      </c>
      <c r="AE16" s="5">
        <f>Factory!H13</f>
        <v/>
      </c>
      <c r="AF16" s="5">
        <f>Factory!I13</f>
        <v/>
      </c>
      <c r="AG16" s="5">
        <f>Factory!J13</f>
        <v/>
      </c>
      <c r="AH16" s="5">
        <f>Factory!P13</f>
        <v/>
      </c>
      <c r="AI16" s="5">
        <f>Factory!K13</f>
        <v/>
      </c>
      <c r="AJ16" s="5">
        <f>Factory!L13</f>
        <v/>
      </c>
      <c r="AK16" s="5">
        <f>Factory!M13</f>
        <v/>
      </c>
      <c r="AL16" s="5">
        <f>SUM(J16,S16,AB16,AK16)</f>
        <v/>
      </c>
      <c r="AM16" s="5">
        <f>AM15+AL16</f>
        <v/>
      </c>
    </row>
    <row r="17">
      <c r="A17" s="5" t="n">
        <v>13</v>
      </c>
      <c r="B17" s="5">
        <f>Retailer!C14</f>
        <v/>
      </c>
      <c r="C17" s="5">
        <f>Retailer!D14</f>
        <v/>
      </c>
      <c r="D17" s="5">
        <f>Retailer!H14</f>
        <v/>
      </c>
      <c r="E17" s="5">
        <f>Retailer!I14</f>
        <v/>
      </c>
      <c r="F17" s="5">
        <f>Retailer!J14</f>
        <v/>
      </c>
      <c r="G17" s="5">
        <f>Retailer!P14</f>
        <v/>
      </c>
      <c r="H17" s="5">
        <f>Retailer!K14</f>
        <v/>
      </c>
      <c r="I17" s="5">
        <f>Retailer!L14</f>
        <v/>
      </c>
      <c r="J17" s="5">
        <f>Retailer!M14</f>
        <v/>
      </c>
      <c r="K17" s="5">
        <f>Wholesaler!C14</f>
        <v/>
      </c>
      <c r="L17" s="5">
        <f>Wholesaler!D14</f>
        <v/>
      </c>
      <c r="M17" s="5">
        <f>Wholesaler!H14</f>
        <v/>
      </c>
      <c r="N17" s="5">
        <f>Wholesaler!I14</f>
        <v/>
      </c>
      <c r="O17" s="5">
        <f>Wholesaler!J14</f>
        <v/>
      </c>
      <c r="P17" s="5">
        <f>Wholesaler!P14</f>
        <v/>
      </c>
      <c r="Q17" s="5">
        <f>Wholesaler!K14</f>
        <v/>
      </c>
      <c r="R17" s="5">
        <f>Wholesaler!L14</f>
        <v/>
      </c>
      <c r="S17" s="5">
        <f>Wholesaler!M14</f>
        <v/>
      </c>
      <c r="T17" s="5">
        <f>Distributor!C14</f>
        <v/>
      </c>
      <c r="U17" s="5">
        <f>Distributor!D14</f>
        <v/>
      </c>
      <c r="V17" s="5">
        <f>Distributor!H14</f>
        <v/>
      </c>
      <c r="W17" s="5">
        <f>Distributor!I14</f>
        <v/>
      </c>
      <c r="X17" s="5">
        <f>Distributor!J14</f>
        <v/>
      </c>
      <c r="Y17" s="5">
        <f>Distributor!P14</f>
        <v/>
      </c>
      <c r="Z17" s="5">
        <f>Distributor!K14</f>
        <v/>
      </c>
      <c r="AA17" s="5">
        <f>Distributor!L14</f>
        <v/>
      </c>
      <c r="AB17" s="5">
        <f>Distributor!M14</f>
        <v/>
      </c>
      <c r="AC17" s="5">
        <f>Factory!C14</f>
        <v/>
      </c>
      <c r="AD17" s="5">
        <f>Factory!D14</f>
        <v/>
      </c>
      <c r="AE17" s="5">
        <f>Factory!H14</f>
        <v/>
      </c>
      <c r="AF17" s="5">
        <f>Factory!I14</f>
        <v/>
      </c>
      <c r="AG17" s="5">
        <f>Factory!J14</f>
        <v/>
      </c>
      <c r="AH17" s="5">
        <f>Factory!P14</f>
        <v/>
      </c>
      <c r="AI17" s="5">
        <f>Factory!K14</f>
        <v/>
      </c>
      <c r="AJ17" s="5">
        <f>Factory!L14</f>
        <v/>
      </c>
      <c r="AK17" s="5">
        <f>Factory!M14</f>
        <v/>
      </c>
      <c r="AL17" s="5">
        <f>SUM(J17,S17,AB17,AK17)</f>
        <v/>
      </c>
      <c r="AM17" s="5">
        <f>AM16+AL17</f>
        <v/>
      </c>
    </row>
    <row r="18">
      <c r="A18" s="5" t="n">
        <v>14</v>
      </c>
      <c r="B18" s="5">
        <f>Retailer!C15</f>
        <v/>
      </c>
      <c r="C18" s="5">
        <f>Retailer!D15</f>
        <v/>
      </c>
      <c r="D18" s="5">
        <f>Retailer!H15</f>
        <v/>
      </c>
      <c r="E18" s="5">
        <f>Retailer!I15</f>
        <v/>
      </c>
      <c r="F18" s="5">
        <f>Retailer!J15</f>
        <v/>
      </c>
      <c r="G18" s="5">
        <f>Retailer!P15</f>
        <v/>
      </c>
      <c r="H18" s="5">
        <f>Retailer!K15</f>
        <v/>
      </c>
      <c r="I18" s="5">
        <f>Retailer!L15</f>
        <v/>
      </c>
      <c r="J18" s="5">
        <f>Retailer!M15</f>
        <v/>
      </c>
      <c r="K18" s="5">
        <f>Wholesaler!C15</f>
        <v/>
      </c>
      <c r="L18" s="5">
        <f>Wholesaler!D15</f>
        <v/>
      </c>
      <c r="M18" s="5">
        <f>Wholesaler!H15</f>
        <v/>
      </c>
      <c r="N18" s="5">
        <f>Wholesaler!I15</f>
        <v/>
      </c>
      <c r="O18" s="5">
        <f>Wholesaler!J15</f>
        <v/>
      </c>
      <c r="P18" s="5">
        <f>Wholesaler!P15</f>
        <v/>
      </c>
      <c r="Q18" s="5">
        <f>Wholesaler!K15</f>
        <v/>
      </c>
      <c r="R18" s="5">
        <f>Wholesaler!L15</f>
        <v/>
      </c>
      <c r="S18" s="5">
        <f>Wholesaler!M15</f>
        <v/>
      </c>
      <c r="T18" s="5">
        <f>Distributor!C15</f>
        <v/>
      </c>
      <c r="U18" s="5">
        <f>Distributor!D15</f>
        <v/>
      </c>
      <c r="V18" s="5">
        <f>Distributor!H15</f>
        <v/>
      </c>
      <c r="W18" s="5">
        <f>Distributor!I15</f>
        <v/>
      </c>
      <c r="X18" s="5">
        <f>Distributor!J15</f>
        <v/>
      </c>
      <c r="Y18" s="5">
        <f>Distributor!P15</f>
        <v/>
      </c>
      <c r="Z18" s="5">
        <f>Distributor!K15</f>
        <v/>
      </c>
      <c r="AA18" s="5">
        <f>Distributor!L15</f>
        <v/>
      </c>
      <c r="AB18" s="5">
        <f>Distributor!M15</f>
        <v/>
      </c>
      <c r="AC18" s="5">
        <f>Factory!C15</f>
        <v/>
      </c>
      <c r="AD18" s="5">
        <f>Factory!D15</f>
        <v/>
      </c>
      <c r="AE18" s="5">
        <f>Factory!H15</f>
        <v/>
      </c>
      <c r="AF18" s="5">
        <f>Factory!I15</f>
        <v/>
      </c>
      <c r="AG18" s="5">
        <f>Factory!J15</f>
        <v/>
      </c>
      <c r="AH18" s="5">
        <f>Factory!P15</f>
        <v/>
      </c>
      <c r="AI18" s="5">
        <f>Factory!K15</f>
        <v/>
      </c>
      <c r="AJ18" s="5">
        <f>Factory!L15</f>
        <v/>
      </c>
      <c r="AK18" s="5">
        <f>Factory!M15</f>
        <v/>
      </c>
      <c r="AL18" s="5">
        <f>SUM(J18,S18,AB18,AK18)</f>
        <v/>
      </c>
      <c r="AM18" s="5">
        <f>AM17+AL18</f>
        <v/>
      </c>
    </row>
    <row r="19">
      <c r="A19" s="5" t="n">
        <v>15</v>
      </c>
      <c r="B19" s="5">
        <f>Retailer!C16</f>
        <v/>
      </c>
      <c r="C19" s="5">
        <f>Retailer!D16</f>
        <v/>
      </c>
      <c r="D19" s="5">
        <f>Retailer!H16</f>
        <v/>
      </c>
      <c r="E19" s="5">
        <f>Retailer!I16</f>
        <v/>
      </c>
      <c r="F19" s="5">
        <f>Retailer!J16</f>
        <v/>
      </c>
      <c r="G19" s="5">
        <f>Retailer!P16</f>
        <v/>
      </c>
      <c r="H19" s="5">
        <f>Retailer!K16</f>
        <v/>
      </c>
      <c r="I19" s="5">
        <f>Retailer!L16</f>
        <v/>
      </c>
      <c r="J19" s="5">
        <f>Retailer!M16</f>
        <v/>
      </c>
      <c r="K19" s="5">
        <f>Wholesaler!C16</f>
        <v/>
      </c>
      <c r="L19" s="5">
        <f>Wholesaler!D16</f>
        <v/>
      </c>
      <c r="M19" s="5">
        <f>Wholesaler!H16</f>
        <v/>
      </c>
      <c r="N19" s="5">
        <f>Wholesaler!I16</f>
        <v/>
      </c>
      <c r="O19" s="5">
        <f>Wholesaler!J16</f>
        <v/>
      </c>
      <c r="P19" s="5">
        <f>Wholesaler!P16</f>
        <v/>
      </c>
      <c r="Q19" s="5">
        <f>Wholesaler!K16</f>
        <v/>
      </c>
      <c r="R19" s="5">
        <f>Wholesaler!L16</f>
        <v/>
      </c>
      <c r="S19" s="5">
        <f>Wholesaler!M16</f>
        <v/>
      </c>
      <c r="T19" s="5">
        <f>Distributor!C16</f>
        <v/>
      </c>
      <c r="U19" s="5">
        <f>Distributor!D16</f>
        <v/>
      </c>
      <c r="V19" s="5">
        <f>Distributor!H16</f>
        <v/>
      </c>
      <c r="W19" s="5">
        <f>Distributor!I16</f>
        <v/>
      </c>
      <c r="X19" s="5">
        <f>Distributor!J16</f>
        <v/>
      </c>
      <c r="Y19" s="5">
        <f>Distributor!P16</f>
        <v/>
      </c>
      <c r="Z19" s="5">
        <f>Distributor!K16</f>
        <v/>
      </c>
      <c r="AA19" s="5">
        <f>Distributor!L16</f>
        <v/>
      </c>
      <c r="AB19" s="5">
        <f>Distributor!M16</f>
        <v/>
      </c>
      <c r="AC19" s="5">
        <f>Factory!C16</f>
        <v/>
      </c>
      <c r="AD19" s="5">
        <f>Factory!D16</f>
        <v/>
      </c>
      <c r="AE19" s="5">
        <f>Factory!H16</f>
        <v/>
      </c>
      <c r="AF19" s="5">
        <f>Factory!I16</f>
        <v/>
      </c>
      <c r="AG19" s="5">
        <f>Factory!J16</f>
        <v/>
      </c>
      <c r="AH19" s="5">
        <f>Factory!P16</f>
        <v/>
      </c>
      <c r="AI19" s="5">
        <f>Factory!K16</f>
        <v/>
      </c>
      <c r="AJ19" s="5">
        <f>Factory!L16</f>
        <v/>
      </c>
      <c r="AK19" s="5">
        <f>Factory!M16</f>
        <v/>
      </c>
      <c r="AL19" s="5">
        <f>SUM(J19,S19,AB19,AK19)</f>
        <v/>
      </c>
      <c r="AM19" s="5">
        <f>AM18+AL19</f>
        <v/>
      </c>
    </row>
    <row r="20">
      <c r="A20" s="5" t="n">
        <v>16</v>
      </c>
      <c r="B20" s="5">
        <f>Retailer!C17</f>
        <v/>
      </c>
      <c r="C20" s="5">
        <f>Retailer!D17</f>
        <v/>
      </c>
      <c r="D20" s="5">
        <f>Retailer!H17</f>
        <v/>
      </c>
      <c r="E20" s="5">
        <f>Retailer!I17</f>
        <v/>
      </c>
      <c r="F20" s="5">
        <f>Retailer!J17</f>
        <v/>
      </c>
      <c r="G20" s="5">
        <f>Retailer!P17</f>
        <v/>
      </c>
      <c r="H20" s="5">
        <f>Retailer!K17</f>
        <v/>
      </c>
      <c r="I20" s="5">
        <f>Retailer!L17</f>
        <v/>
      </c>
      <c r="J20" s="5">
        <f>Retailer!M17</f>
        <v/>
      </c>
      <c r="K20" s="5">
        <f>Wholesaler!C17</f>
        <v/>
      </c>
      <c r="L20" s="5">
        <f>Wholesaler!D17</f>
        <v/>
      </c>
      <c r="M20" s="5">
        <f>Wholesaler!H17</f>
        <v/>
      </c>
      <c r="N20" s="5">
        <f>Wholesaler!I17</f>
        <v/>
      </c>
      <c r="O20" s="5">
        <f>Wholesaler!J17</f>
        <v/>
      </c>
      <c r="P20" s="5">
        <f>Wholesaler!P17</f>
        <v/>
      </c>
      <c r="Q20" s="5">
        <f>Wholesaler!K17</f>
        <v/>
      </c>
      <c r="R20" s="5">
        <f>Wholesaler!L17</f>
        <v/>
      </c>
      <c r="S20" s="5">
        <f>Wholesaler!M17</f>
        <v/>
      </c>
      <c r="T20" s="5">
        <f>Distributor!C17</f>
        <v/>
      </c>
      <c r="U20" s="5">
        <f>Distributor!D17</f>
        <v/>
      </c>
      <c r="V20" s="5">
        <f>Distributor!H17</f>
        <v/>
      </c>
      <c r="W20" s="5">
        <f>Distributor!I17</f>
        <v/>
      </c>
      <c r="X20" s="5">
        <f>Distributor!J17</f>
        <v/>
      </c>
      <c r="Y20" s="5">
        <f>Distributor!P17</f>
        <v/>
      </c>
      <c r="Z20" s="5">
        <f>Distributor!K17</f>
        <v/>
      </c>
      <c r="AA20" s="5">
        <f>Distributor!L17</f>
        <v/>
      </c>
      <c r="AB20" s="5">
        <f>Distributor!M17</f>
        <v/>
      </c>
      <c r="AC20" s="5">
        <f>Factory!C17</f>
        <v/>
      </c>
      <c r="AD20" s="5">
        <f>Factory!D17</f>
        <v/>
      </c>
      <c r="AE20" s="5">
        <f>Factory!H17</f>
        <v/>
      </c>
      <c r="AF20" s="5">
        <f>Factory!I17</f>
        <v/>
      </c>
      <c r="AG20" s="5">
        <f>Factory!J17</f>
        <v/>
      </c>
      <c r="AH20" s="5">
        <f>Factory!P17</f>
        <v/>
      </c>
      <c r="AI20" s="5">
        <f>Factory!K17</f>
        <v/>
      </c>
      <c r="AJ20" s="5">
        <f>Factory!L17</f>
        <v/>
      </c>
      <c r="AK20" s="5">
        <f>Factory!M17</f>
        <v/>
      </c>
      <c r="AL20" s="5">
        <f>SUM(J20,S20,AB20,AK20)</f>
        <v/>
      </c>
      <c r="AM20" s="5">
        <f>AM19+AL20</f>
        <v/>
      </c>
    </row>
    <row r="21">
      <c r="A21" s="5" t="n">
        <v>17</v>
      </c>
      <c r="B21" s="5">
        <f>Retailer!C18</f>
        <v/>
      </c>
      <c r="C21" s="5">
        <f>Retailer!D18</f>
        <v/>
      </c>
      <c r="D21" s="5">
        <f>Retailer!H18</f>
        <v/>
      </c>
      <c r="E21" s="5">
        <f>Retailer!I18</f>
        <v/>
      </c>
      <c r="F21" s="5">
        <f>Retailer!J18</f>
        <v/>
      </c>
      <c r="G21" s="5">
        <f>Retailer!P18</f>
        <v/>
      </c>
      <c r="H21" s="5">
        <f>Retailer!K18</f>
        <v/>
      </c>
      <c r="I21" s="5">
        <f>Retailer!L18</f>
        <v/>
      </c>
      <c r="J21" s="5">
        <f>Retailer!M18</f>
        <v/>
      </c>
      <c r="K21" s="5">
        <f>Wholesaler!C18</f>
        <v/>
      </c>
      <c r="L21" s="5">
        <f>Wholesaler!D18</f>
        <v/>
      </c>
      <c r="M21" s="5">
        <f>Wholesaler!H18</f>
        <v/>
      </c>
      <c r="N21" s="5">
        <f>Wholesaler!I18</f>
        <v/>
      </c>
      <c r="O21" s="5">
        <f>Wholesaler!J18</f>
        <v/>
      </c>
      <c r="P21" s="5">
        <f>Wholesaler!P18</f>
        <v/>
      </c>
      <c r="Q21" s="5">
        <f>Wholesaler!K18</f>
        <v/>
      </c>
      <c r="R21" s="5">
        <f>Wholesaler!L18</f>
        <v/>
      </c>
      <c r="S21" s="5">
        <f>Wholesaler!M18</f>
        <v/>
      </c>
      <c r="T21" s="5">
        <f>Distributor!C18</f>
        <v/>
      </c>
      <c r="U21" s="5">
        <f>Distributor!D18</f>
        <v/>
      </c>
      <c r="V21" s="5">
        <f>Distributor!H18</f>
        <v/>
      </c>
      <c r="W21" s="5">
        <f>Distributor!I18</f>
        <v/>
      </c>
      <c r="X21" s="5">
        <f>Distributor!J18</f>
        <v/>
      </c>
      <c r="Y21" s="5">
        <f>Distributor!P18</f>
        <v/>
      </c>
      <c r="Z21" s="5">
        <f>Distributor!K18</f>
        <v/>
      </c>
      <c r="AA21" s="5">
        <f>Distributor!L18</f>
        <v/>
      </c>
      <c r="AB21" s="5">
        <f>Distributor!M18</f>
        <v/>
      </c>
      <c r="AC21" s="5">
        <f>Factory!C18</f>
        <v/>
      </c>
      <c r="AD21" s="5">
        <f>Factory!D18</f>
        <v/>
      </c>
      <c r="AE21" s="5">
        <f>Factory!H18</f>
        <v/>
      </c>
      <c r="AF21" s="5">
        <f>Factory!I18</f>
        <v/>
      </c>
      <c r="AG21" s="5">
        <f>Factory!J18</f>
        <v/>
      </c>
      <c r="AH21" s="5">
        <f>Factory!P18</f>
        <v/>
      </c>
      <c r="AI21" s="5">
        <f>Factory!K18</f>
        <v/>
      </c>
      <c r="AJ21" s="5">
        <f>Factory!L18</f>
        <v/>
      </c>
      <c r="AK21" s="5">
        <f>Factory!M18</f>
        <v/>
      </c>
      <c r="AL21" s="5">
        <f>SUM(J21,S21,AB21,AK21)</f>
        <v/>
      </c>
      <c r="AM21" s="5">
        <f>AM20+AL21</f>
        <v/>
      </c>
    </row>
    <row r="22">
      <c r="A22" s="5" t="n">
        <v>18</v>
      </c>
      <c r="B22" s="5">
        <f>Retailer!C19</f>
        <v/>
      </c>
      <c r="C22" s="5">
        <f>Retailer!D19</f>
        <v/>
      </c>
      <c r="D22" s="5">
        <f>Retailer!H19</f>
        <v/>
      </c>
      <c r="E22" s="5">
        <f>Retailer!I19</f>
        <v/>
      </c>
      <c r="F22" s="5">
        <f>Retailer!J19</f>
        <v/>
      </c>
      <c r="G22" s="5">
        <f>Retailer!P19</f>
        <v/>
      </c>
      <c r="H22" s="5">
        <f>Retailer!K19</f>
        <v/>
      </c>
      <c r="I22" s="5">
        <f>Retailer!L19</f>
        <v/>
      </c>
      <c r="J22" s="5">
        <f>Retailer!M19</f>
        <v/>
      </c>
      <c r="K22" s="5">
        <f>Wholesaler!C19</f>
        <v/>
      </c>
      <c r="L22" s="5">
        <f>Wholesaler!D19</f>
        <v/>
      </c>
      <c r="M22" s="5">
        <f>Wholesaler!H19</f>
        <v/>
      </c>
      <c r="N22" s="5">
        <f>Wholesaler!I19</f>
        <v/>
      </c>
      <c r="O22" s="5">
        <f>Wholesaler!J19</f>
        <v/>
      </c>
      <c r="P22" s="5">
        <f>Wholesaler!P19</f>
        <v/>
      </c>
      <c r="Q22" s="5">
        <f>Wholesaler!K19</f>
        <v/>
      </c>
      <c r="R22" s="5">
        <f>Wholesaler!L19</f>
        <v/>
      </c>
      <c r="S22" s="5">
        <f>Wholesaler!M19</f>
        <v/>
      </c>
      <c r="T22" s="5">
        <f>Distributor!C19</f>
        <v/>
      </c>
      <c r="U22" s="5">
        <f>Distributor!D19</f>
        <v/>
      </c>
      <c r="V22" s="5">
        <f>Distributor!H19</f>
        <v/>
      </c>
      <c r="W22" s="5">
        <f>Distributor!I19</f>
        <v/>
      </c>
      <c r="X22" s="5">
        <f>Distributor!J19</f>
        <v/>
      </c>
      <c r="Y22" s="5">
        <f>Distributor!P19</f>
        <v/>
      </c>
      <c r="Z22" s="5">
        <f>Distributor!K19</f>
        <v/>
      </c>
      <c r="AA22" s="5">
        <f>Distributor!L19</f>
        <v/>
      </c>
      <c r="AB22" s="5">
        <f>Distributor!M19</f>
        <v/>
      </c>
      <c r="AC22" s="5">
        <f>Factory!C19</f>
        <v/>
      </c>
      <c r="AD22" s="5">
        <f>Factory!D19</f>
        <v/>
      </c>
      <c r="AE22" s="5">
        <f>Factory!H19</f>
        <v/>
      </c>
      <c r="AF22" s="5">
        <f>Factory!I19</f>
        <v/>
      </c>
      <c r="AG22" s="5">
        <f>Factory!J19</f>
        <v/>
      </c>
      <c r="AH22" s="5">
        <f>Factory!P19</f>
        <v/>
      </c>
      <c r="AI22" s="5">
        <f>Factory!K19</f>
        <v/>
      </c>
      <c r="AJ22" s="5">
        <f>Factory!L19</f>
        <v/>
      </c>
      <c r="AK22" s="5">
        <f>Factory!M19</f>
        <v/>
      </c>
      <c r="AL22" s="5">
        <f>SUM(J22,S22,AB22,AK22)</f>
        <v/>
      </c>
      <c r="AM22" s="5">
        <f>AM21+AL22</f>
        <v/>
      </c>
    </row>
    <row r="23">
      <c r="A23" s="5" t="n">
        <v>19</v>
      </c>
      <c r="B23" s="5">
        <f>Retailer!C20</f>
        <v/>
      </c>
      <c r="C23" s="5">
        <f>Retailer!D20</f>
        <v/>
      </c>
      <c r="D23" s="5">
        <f>Retailer!H20</f>
        <v/>
      </c>
      <c r="E23" s="5">
        <f>Retailer!I20</f>
        <v/>
      </c>
      <c r="F23" s="5">
        <f>Retailer!J20</f>
        <v/>
      </c>
      <c r="G23" s="5">
        <f>Retailer!P20</f>
        <v/>
      </c>
      <c r="H23" s="5">
        <f>Retailer!K20</f>
        <v/>
      </c>
      <c r="I23" s="5">
        <f>Retailer!L20</f>
        <v/>
      </c>
      <c r="J23" s="5">
        <f>Retailer!M20</f>
        <v/>
      </c>
      <c r="K23" s="5">
        <f>Wholesaler!C20</f>
        <v/>
      </c>
      <c r="L23" s="5">
        <f>Wholesaler!D20</f>
        <v/>
      </c>
      <c r="M23" s="5">
        <f>Wholesaler!H20</f>
        <v/>
      </c>
      <c r="N23" s="5">
        <f>Wholesaler!I20</f>
        <v/>
      </c>
      <c r="O23" s="5">
        <f>Wholesaler!J20</f>
        <v/>
      </c>
      <c r="P23" s="5">
        <f>Wholesaler!P20</f>
        <v/>
      </c>
      <c r="Q23" s="5">
        <f>Wholesaler!K20</f>
        <v/>
      </c>
      <c r="R23" s="5">
        <f>Wholesaler!L20</f>
        <v/>
      </c>
      <c r="S23" s="5">
        <f>Wholesaler!M20</f>
        <v/>
      </c>
      <c r="T23" s="5">
        <f>Distributor!C20</f>
        <v/>
      </c>
      <c r="U23" s="5">
        <f>Distributor!D20</f>
        <v/>
      </c>
      <c r="V23" s="5">
        <f>Distributor!H20</f>
        <v/>
      </c>
      <c r="W23" s="5">
        <f>Distributor!I20</f>
        <v/>
      </c>
      <c r="X23" s="5">
        <f>Distributor!J20</f>
        <v/>
      </c>
      <c r="Y23" s="5">
        <f>Distributor!P20</f>
        <v/>
      </c>
      <c r="Z23" s="5">
        <f>Distributor!K20</f>
        <v/>
      </c>
      <c r="AA23" s="5">
        <f>Distributor!L20</f>
        <v/>
      </c>
      <c r="AB23" s="5">
        <f>Distributor!M20</f>
        <v/>
      </c>
      <c r="AC23" s="5">
        <f>Factory!C20</f>
        <v/>
      </c>
      <c r="AD23" s="5">
        <f>Factory!D20</f>
        <v/>
      </c>
      <c r="AE23" s="5">
        <f>Factory!H20</f>
        <v/>
      </c>
      <c r="AF23" s="5">
        <f>Factory!I20</f>
        <v/>
      </c>
      <c r="AG23" s="5">
        <f>Factory!J20</f>
        <v/>
      </c>
      <c r="AH23" s="5">
        <f>Factory!P20</f>
        <v/>
      </c>
      <c r="AI23" s="5">
        <f>Factory!K20</f>
        <v/>
      </c>
      <c r="AJ23" s="5">
        <f>Factory!L20</f>
        <v/>
      </c>
      <c r="AK23" s="5">
        <f>Factory!M20</f>
        <v/>
      </c>
      <c r="AL23" s="5">
        <f>SUM(J23,S23,AB23,AK23)</f>
        <v/>
      </c>
      <c r="AM23" s="5">
        <f>AM22+AL23</f>
        <v/>
      </c>
    </row>
    <row r="24">
      <c r="A24" s="5" t="n">
        <v>20</v>
      </c>
      <c r="B24" s="5">
        <f>Retailer!C21</f>
        <v/>
      </c>
      <c r="C24" s="5">
        <f>Retailer!D21</f>
        <v/>
      </c>
      <c r="D24" s="5">
        <f>Retailer!H21</f>
        <v/>
      </c>
      <c r="E24" s="5">
        <f>Retailer!I21</f>
        <v/>
      </c>
      <c r="F24" s="5">
        <f>Retailer!J21</f>
        <v/>
      </c>
      <c r="G24" s="5">
        <f>Retailer!P21</f>
        <v/>
      </c>
      <c r="H24" s="5">
        <f>Retailer!K21</f>
        <v/>
      </c>
      <c r="I24" s="5">
        <f>Retailer!L21</f>
        <v/>
      </c>
      <c r="J24" s="5">
        <f>Retailer!M21</f>
        <v/>
      </c>
      <c r="K24" s="5">
        <f>Wholesaler!C21</f>
        <v/>
      </c>
      <c r="L24" s="5">
        <f>Wholesaler!D21</f>
        <v/>
      </c>
      <c r="M24" s="5">
        <f>Wholesaler!H21</f>
        <v/>
      </c>
      <c r="N24" s="5">
        <f>Wholesaler!I21</f>
        <v/>
      </c>
      <c r="O24" s="5">
        <f>Wholesaler!J21</f>
        <v/>
      </c>
      <c r="P24" s="5">
        <f>Wholesaler!P21</f>
        <v/>
      </c>
      <c r="Q24" s="5">
        <f>Wholesaler!K21</f>
        <v/>
      </c>
      <c r="R24" s="5">
        <f>Wholesaler!L21</f>
        <v/>
      </c>
      <c r="S24" s="5">
        <f>Wholesaler!M21</f>
        <v/>
      </c>
      <c r="T24" s="5">
        <f>Distributor!C21</f>
        <v/>
      </c>
      <c r="U24" s="5">
        <f>Distributor!D21</f>
        <v/>
      </c>
      <c r="V24" s="5">
        <f>Distributor!H21</f>
        <v/>
      </c>
      <c r="W24" s="5">
        <f>Distributor!I21</f>
        <v/>
      </c>
      <c r="X24" s="5">
        <f>Distributor!J21</f>
        <v/>
      </c>
      <c r="Y24" s="5">
        <f>Distributor!P21</f>
        <v/>
      </c>
      <c r="Z24" s="5">
        <f>Distributor!K21</f>
        <v/>
      </c>
      <c r="AA24" s="5">
        <f>Distributor!L21</f>
        <v/>
      </c>
      <c r="AB24" s="5">
        <f>Distributor!M21</f>
        <v/>
      </c>
      <c r="AC24" s="5">
        <f>Factory!C21</f>
        <v/>
      </c>
      <c r="AD24" s="5">
        <f>Factory!D21</f>
        <v/>
      </c>
      <c r="AE24" s="5">
        <f>Factory!H21</f>
        <v/>
      </c>
      <c r="AF24" s="5">
        <f>Factory!I21</f>
        <v/>
      </c>
      <c r="AG24" s="5">
        <f>Factory!J21</f>
        <v/>
      </c>
      <c r="AH24" s="5">
        <f>Factory!P21</f>
        <v/>
      </c>
      <c r="AI24" s="5">
        <f>Factory!K21</f>
        <v/>
      </c>
      <c r="AJ24" s="5">
        <f>Factory!L21</f>
        <v/>
      </c>
      <c r="AK24" s="5">
        <f>Factory!M21</f>
        <v/>
      </c>
      <c r="AL24" s="5">
        <f>SUM(J24,S24,AB24,AK24)</f>
        <v/>
      </c>
      <c r="AM24" s="5">
        <f>AM23+AL24</f>
        <v/>
      </c>
    </row>
    <row r="25">
      <c r="A25" s="5" t="n">
        <v>21</v>
      </c>
      <c r="B25" s="5">
        <f>Retailer!C22</f>
        <v/>
      </c>
      <c r="C25" s="5">
        <f>Retailer!D22</f>
        <v/>
      </c>
      <c r="D25" s="5">
        <f>Retailer!H22</f>
        <v/>
      </c>
      <c r="E25" s="5">
        <f>Retailer!I22</f>
        <v/>
      </c>
      <c r="F25" s="5">
        <f>Retailer!J22</f>
        <v/>
      </c>
      <c r="G25" s="5">
        <f>Retailer!P22</f>
        <v/>
      </c>
      <c r="H25" s="5">
        <f>Retailer!K22</f>
        <v/>
      </c>
      <c r="I25" s="5">
        <f>Retailer!L22</f>
        <v/>
      </c>
      <c r="J25" s="5">
        <f>Retailer!M22</f>
        <v/>
      </c>
      <c r="K25" s="5">
        <f>Wholesaler!C22</f>
        <v/>
      </c>
      <c r="L25" s="5">
        <f>Wholesaler!D22</f>
        <v/>
      </c>
      <c r="M25" s="5">
        <f>Wholesaler!H22</f>
        <v/>
      </c>
      <c r="N25" s="5">
        <f>Wholesaler!I22</f>
        <v/>
      </c>
      <c r="O25" s="5">
        <f>Wholesaler!J22</f>
        <v/>
      </c>
      <c r="P25" s="5">
        <f>Wholesaler!P22</f>
        <v/>
      </c>
      <c r="Q25" s="5">
        <f>Wholesaler!K22</f>
        <v/>
      </c>
      <c r="R25" s="5">
        <f>Wholesaler!L22</f>
        <v/>
      </c>
      <c r="S25" s="5">
        <f>Wholesaler!M22</f>
        <v/>
      </c>
      <c r="T25" s="5">
        <f>Distributor!C22</f>
        <v/>
      </c>
      <c r="U25" s="5">
        <f>Distributor!D22</f>
        <v/>
      </c>
      <c r="V25" s="5">
        <f>Distributor!H22</f>
        <v/>
      </c>
      <c r="W25" s="5">
        <f>Distributor!I22</f>
        <v/>
      </c>
      <c r="X25" s="5">
        <f>Distributor!J22</f>
        <v/>
      </c>
      <c r="Y25" s="5">
        <f>Distributor!P22</f>
        <v/>
      </c>
      <c r="Z25" s="5">
        <f>Distributor!K22</f>
        <v/>
      </c>
      <c r="AA25" s="5">
        <f>Distributor!L22</f>
        <v/>
      </c>
      <c r="AB25" s="5">
        <f>Distributor!M22</f>
        <v/>
      </c>
      <c r="AC25" s="5">
        <f>Factory!C22</f>
        <v/>
      </c>
      <c r="AD25" s="5">
        <f>Factory!D22</f>
        <v/>
      </c>
      <c r="AE25" s="5">
        <f>Factory!H22</f>
        <v/>
      </c>
      <c r="AF25" s="5">
        <f>Factory!I22</f>
        <v/>
      </c>
      <c r="AG25" s="5">
        <f>Factory!J22</f>
        <v/>
      </c>
      <c r="AH25" s="5">
        <f>Factory!P22</f>
        <v/>
      </c>
      <c r="AI25" s="5">
        <f>Factory!K22</f>
        <v/>
      </c>
      <c r="AJ25" s="5">
        <f>Factory!L22</f>
        <v/>
      </c>
      <c r="AK25" s="5">
        <f>Factory!M22</f>
        <v/>
      </c>
      <c r="AL25" s="5">
        <f>SUM(J25,S25,AB25,AK25)</f>
        <v/>
      </c>
      <c r="AM25" s="5">
        <f>AM24+AL25</f>
        <v/>
      </c>
    </row>
    <row r="26">
      <c r="A26" s="5" t="n">
        <v>22</v>
      </c>
      <c r="B26" s="5">
        <f>Retailer!C23</f>
        <v/>
      </c>
      <c r="C26" s="5">
        <f>Retailer!D23</f>
        <v/>
      </c>
      <c r="D26" s="5">
        <f>Retailer!H23</f>
        <v/>
      </c>
      <c r="E26" s="5">
        <f>Retailer!I23</f>
        <v/>
      </c>
      <c r="F26" s="5">
        <f>Retailer!J23</f>
        <v/>
      </c>
      <c r="G26" s="5">
        <f>Retailer!P23</f>
        <v/>
      </c>
      <c r="H26" s="5">
        <f>Retailer!K23</f>
        <v/>
      </c>
      <c r="I26" s="5">
        <f>Retailer!L23</f>
        <v/>
      </c>
      <c r="J26" s="5">
        <f>Retailer!M23</f>
        <v/>
      </c>
      <c r="K26" s="5">
        <f>Wholesaler!C23</f>
        <v/>
      </c>
      <c r="L26" s="5">
        <f>Wholesaler!D23</f>
        <v/>
      </c>
      <c r="M26" s="5">
        <f>Wholesaler!H23</f>
        <v/>
      </c>
      <c r="N26" s="5">
        <f>Wholesaler!I23</f>
        <v/>
      </c>
      <c r="O26" s="5">
        <f>Wholesaler!J23</f>
        <v/>
      </c>
      <c r="P26" s="5">
        <f>Wholesaler!P23</f>
        <v/>
      </c>
      <c r="Q26" s="5">
        <f>Wholesaler!K23</f>
        <v/>
      </c>
      <c r="R26" s="5">
        <f>Wholesaler!L23</f>
        <v/>
      </c>
      <c r="S26" s="5">
        <f>Wholesaler!M23</f>
        <v/>
      </c>
      <c r="T26" s="5">
        <f>Distributor!C23</f>
        <v/>
      </c>
      <c r="U26" s="5">
        <f>Distributor!D23</f>
        <v/>
      </c>
      <c r="V26" s="5">
        <f>Distributor!H23</f>
        <v/>
      </c>
      <c r="W26" s="5">
        <f>Distributor!I23</f>
        <v/>
      </c>
      <c r="X26" s="5">
        <f>Distributor!J23</f>
        <v/>
      </c>
      <c r="Y26" s="5">
        <f>Distributor!P23</f>
        <v/>
      </c>
      <c r="Z26" s="5">
        <f>Distributor!K23</f>
        <v/>
      </c>
      <c r="AA26" s="5">
        <f>Distributor!L23</f>
        <v/>
      </c>
      <c r="AB26" s="5">
        <f>Distributor!M23</f>
        <v/>
      </c>
      <c r="AC26" s="5">
        <f>Factory!C23</f>
        <v/>
      </c>
      <c r="AD26" s="5">
        <f>Factory!D23</f>
        <v/>
      </c>
      <c r="AE26" s="5">
        <f>Factory!H23</f>
        <v/>
      </c>
      <c r="AF26" s="5">
        <f>Factory!I23</f>
        <v/>
      </c>
      <c r="AG26" s="5">
        <f>Factory!J23</f>
        <v/>
      </c>
      <c r="AH26" s="5">
        <f>Factory!P23</f>
        <v/>
      </c>
      <c r="AI26" s="5">
        <f>Factory!K23</f>
        <v/>
      </c>
      <c r="AJ26" s="5">
        <f>Factory!L23</f>
        <v/>
      </c>
      <c r="AK26" s="5">
        <f>Factory!M23</f>
        <v/>
      </c>
      <c r="AL26" s="5">
        <f>SUM(J26,S26,AB26,AK26)</f>
        <v/>
      </c>
      <c r="AM26" s="5">
        <f>AM25+AL26</f>
        <v/>
      </c>
    </row>
    <row r="27">
      <c r="A27" s="5" t="n">
        <v>23</v>
      </c>
      <c r="B27" s="5">
        <f>Retailer!C24</f>
        <v/>
      </c>
      <c r="C27" s="5">
        <f>Retailer!D24</f>
        <v/>
      </c>
      <c r="D27" s="5">
        <f>Retailer!H24</f>
        <v/>
      </c>
      <c r="E27" s="5">
        <f>Retailer!I24</f>
        <v/>
      </c>
      <c r="F27" s="5">
        <f>Retailer!J24</f>
        <v/>
      </c>
      <c r="G27" s="5">
        <f>Retailer!P24</f>
        <v/>
      </c>
      <c r="H27" s="5">
        <f>Retailer!K24</f>
        <v/>
      </c>
      <c r="I27" s="5">
        <f>Retailer!L24</f>
        <v/>
      </c>
      <c r="J27" s="5">
        <f>Retailer!M24</f>
        <v/>
      </c>
      <c r="K27" s="5">
        <f>Wholesaler!C24</f>
        <v/>
      </c>
      <c r="L27" s="5">
        <f>Wholesaler!D24</f>
        <v/>
      </c>
      <c r="M27" s="5">
        <f>Wholesaler!H24</f>
        <v/>
      </c>
      <c r="N27" s="5">
        <f>Wholesaler!I24</f>
        <v/>
      </c>
      <c r="O27" s="5">
        <f>Wholesaler!J24</f>
        <v/>
      </c>
      <c r="P27" s="5">
        <f>Wholesaler!P24</f>
        <v/>
      </c>
      <c r="Q27" s="5">
        <f>Wholesaler!K24</f>
        <v/>
      </c>
      <c r="R27" s="5">
        <f>Wholesaler!L24</f>
        <v/>
      </c>
      <c r="S27" s="5">
        <f>Wholesaler!M24</f>
        <v/>
      </c>
      <c r="T27" s="5">
        <f>Distributor!C24</f>
        <v/>
      </c>
      <c r="U27" s="5">
        <f>Distributor!D24</f>
        <v/>
      </c>
      <c r="V27" s="5">
        <f>Distributor!H24</f>
        <v/>
      </c>
      <c r="W27" s="5">
        <f>Distributor!I24</f>
        <v/>
      </c>
      <c r="X27" s="5">
        <f>Distributor!J24</f>
        <v/>
      </c>
      <c r="Y27" s="5">
        <f>Distributor!P24</f>
        <v/>
      </c>
      <c r="Z27" s="5">
        <f>Distributor!K24</f>
        <v/>
      </c>
      <c r="AA27" s="5">
        <f>Distributor!L24</f>
        <v/>
      </c>
      <c r="AB27" s="5">
        <f>Distributor!M24</f>
        <v/>
      </c>
      <c r="AC27" s="5">
        <f>Factory!C24</f>
        <v/>
      </c>
      <c r="AD27" s="5">
        <f>Factory!D24</f>
        <v/>
      </c>
      <c r="AE27" s="5">
        <f>Factory!H24</f>
        <v/>
      </c>
      <c r="AF27" s="5">
        <f>Factory!I24</f>
        <v/>
      </c>
      <c r="AG27" s="5">
        <f>Factory!J24</f>
        <v/>
      </c>
      <c r="AH27" s="5">
        <f>Factory!P24</f>
        <v/>
      </c>
      <c r="AI27" s="5">
        <f>Factory!K24</f>
        <v/>
      </c>
      <c r="AJ27" s="5">
        <f>Factory!L24</f>
        <v/>
      </c>
      <c r="AK27" s="5">
        <f>Factory!M24</f>
        <v/>
      </c>
      <c r="AL27" s="5">
        <f>SUM(J27,S27,AB27,AK27)</f>
        <v/>
      </c>
      <c r="AM27" s="5">
        <f>AM26+AL27</f>
        <v/>
      </c>
    </row>
    <row r="28">
      <c r="A28" s="5" t="n">
        <v>24</v>
      </c>
      <c r="B28" s="5">
        <f>Retailer!C25</f>
        <v/>
      </c>
      <c r="C28" s="5">
        <f>Retailer!D25</f>
        <v/>
      </c>
      <c r="D28" s="5">
        <f>Retailer!H25</f>
        <v/>
      </c>
      <c r="E28" s="5">
        <f>Retailer!I25</f>
        <v/>
      </c>
      <c r="F28" s="5">
        <f>Retailer!J25</f>
        <v/>
      </c>
      <c r="G28" s="5">
        <f>Retailer!P25</f>
        <v/>
      </c>
      <c r="H28" s="5">
        <f>Retailer!K25</f>
        <v/>
      </c>
      <c r="I28" s="5">
        <f>Retailer!L25</f>
        <v/>
      </c>
      <c r="J28" s="5">
        <f>Retailer!M25</f>
        <v/>
      </c>
      <c r="K28" s="5">
        <f>Wholesaler!C25</f>
        <v/>
      </c>
      <c r="L28" s="5">
        <f>Wholesaler!D25</f>
        <v/>
      </c>
      <c r="M28" s="5">
        <f>Wholesaler!H25</f>
        <v/>
      </c>
      <c r="N28" s="5">
        <f>Wholesaler!I25</f>
        <v/>
      </c>
      <c r="O28" s="5">
        <f>Wholesaler!J25</f>
        <v/>
      </c>
      <c r="P28" s="5">
        <f>Wholesaler!P25</f>
        <v/>
      </c>
      <c r="Q28" s="5">
        <f>Wholesaler!K25</f>
        <v/>
      </c>
      <c r="R28" s="5">
        <f>Wholesaler!L25</f>
        <v/>
      </c>
      <c r="S28" s="5">
        <f>Wholesaler!M25</f>
        <v/>
      </c>
      <c r="T28" s="5">
        <f>Distributor!C25</f>
        <v/>
      </c>
      <c r="U28" s="5">
        <f>Distributor!D25</f>
        <v/>
      </c>
      <c r="V28" s="5">
        <f>Distributor!H25</f>
        <v/>
      </c>
      <c r="W28" s="5">
        <f>Distributor!I25</f>
        <v/>
      </c>
      <c r="X28" s="5">
        <f>Distributor!J25</f>
        <v/>
      </c>
      <c r="Y28" s="5">
        <f>Distributor!P25</f>
        <v/>
      </c>
      <c r="Z28" s="5">
        <f>Distributor!K25</f>
        <v/>
      </c>
      <c r="AA28" s="5">
        <f>Distributor!L25</f>
        <v/>
      </c>
      <c r="AB28" s="5">
        <f>Distributor!M25</f>
        <v/>
      </c>
      <c r="AC28" s="5">
        <f>Factory!C25</f>
        <v/>
      </c>
      <c r="AD28" s="5">
        <f>Factory!D25</f>
        <v/>
      </c>
      <c r="AE28" s="5">
        <f>Factory!H25</f>
        <v/>
      </c>
      <c r="AF28" s="5">
        <f>Factory!I25</f>
        <v/>
      </c>
      <c r="AG28" s="5">
        <f>Factory!J25</f>
        <v/>
      </c>
      <c r="AH28" s="5">
        <f>Factory!P25</f>
        <v/>
      </c>
      <c r="AI28" s="5">
        <f>Factory!K25</f>
        <v/>
      </c>
      <c r="AJ28" s="5">
        <f>Factory!L25</f>
        <v/>
      </c>
      <c r="AK28" s="5">
        <f>Factory!M25</f>
        <v/>
      </c>
      <c r="AL28" s="5">
        <f>SUM(J28,S28,AB28,AK28)</f>
        <v/>
      </c>
      <c r="AM28" s="5">
        <f>AM27+AL28</f>
        <v/>
      </c>
    </row>
    <row r="29">
      <c r="A29" s="5" t="n">
        <v>25</v>
      </c>
      <c r="B29" s="5">
        <f>Retailer!C26</f>
        <v/>
      </c>
      <c r="C29" s="5">
        <f>Retailer!D26</f>
        <v/>
      </c>
      <c r="D29" s="5">
        <f>Retailer!H26</f>
        <v/>
      </c>
      <c r="E29" s="5">
        <f>Retailer!I26</f>
        <v/>
      </c>
      <c r="F29" s="5">
        <f>Retailer!J26</f>
        <v/>
      </c>
      <c r="G29" s="5">
        <f>Retailer!P26</f>
        <v/>
      </c>
      <c r="H29" s="5">
        <f>Retailer!K26</f>
        <v/>
      </c>
      <c r="I29" s="5">
        <f>Retailer!L26</f>
        <v/>
      </c>
      <c r="J29" s="5">
        <f>Retailer!M26</f>
        <v/>
      </c>
      <c r="K29" s="5">
        <f>Wholesaler!C26</f>
        <v/>
      </c>
      <c r="L29" s="5">
        <f>Wholesaler!D26</f>
        <v/>
      </c>
      <c r="M29" s="5">
        <f>Wholesaler!H26</f>
        <v/>
      </c>
      <c r="N29" s="5">
        <f>Wholesaler!I26</f>
        <v/>
      </c>
      <c r="O29" s="5">
        <f>Wholesaler!J26</f>
        <v/>
      </c>
      <c r="P29" s="5">
        <f>Wholesaler!P26</f>
        <v/>
      </c>
      <c r="Q29" s="5">
        <f>Wholesaler!K26</f>
        <v/>
      </c>
      <c r="R29" s="5">
        <f>Wholesaler!L26</f>
        <v/>
      </c>
      <c r="S29" s="5">
        <f>Wholesaler!M26</f>
        <v/>
      </c>
      <c r="T29" s="5">
        <f>Distributor!C26</f>
        <v/>
      </c>
      <c r="U29" s="5">
        <f>Distributor!D26</f>
        <v/>
      </c>
      <c r="V29" s="5">
        <f>Distributor!H26</f>
        <v/>
      </c>
      <c r="W29" s="5">
        <f>Distributor!I26</f>
        <v/>
      </c>
      <c r="X29" s="5">
        <f>Distributor!J26</f>
        <v/>
      </c>
      <c r="Y29" s="5">
        <f>Distributor!P26</f>
        <v/>
      </c>
      <c r="Z29" s="5">
        <f>Distributor!K26</f>
        <v/>
      </c>
      <c r="AA29" s="5">
        <f>Distributor!L26</f>
        <v/>
      </c>
      <c r="AB29" s="5">
        <f>Distributor!M26</f>
        <v/>
      </c>
      <c r="AC29" s="5">
        <f>Factory!C26</f>
        <v/>
      </c>
      <c r="AD29" s="5">
        <f>Factory!D26</f>
        <v/>
      </c>
      <c r="AE29" s="5">
        <f>Factory!H26</f>
        <v/>
      </c>
      <c r="AF29" s="5">
        <f>Factory!I26</f>
        <v/>
      </c>
      <c r="AG29" s="5">
        <f>Factory!J26</f>
        <v/>
      </c>
      <c r="AH29" s="5">
        <f>Factory!P26</f>
        <v/>
      </c>
      <c r="AI29" s="5">
        <f>Factory!K26</f>
        <v/>
      </c>
      <c r="AJ29" s="5">
        <f>Factory!L26</f>
        <v/>
      </c>
      <c r="AK29" s="5">
        <f>Factory!M26</f>
        <v/>
      </c>
      <c r="AL29" s="5">
        <f>SUM(J29,S29,AB29,AK29)</f>
        <v/>
      </c>
      <c r="AM29" s="5">
        <f>AM28+AL29</f>
        <v/>
      </c>
    </row>
    <row r="30">
      <c r="A30" s="5" t="n">
        <v>26</v>
      </c>
      <c r="B30" s="5">
        <f>Retailer!C27</f>
        <v/>
      </c>
      <c r="C30" s="5">
        <f>Retailer!D27</f>
        <v/>
      </c>
      <c r="D30" s="5">
        <f>Retailer!H27</f>
        <v/>
      </c>
      <c r="E30" s="5">
        <f>Retailer!I27</f>
        <v/>
      </c>
      <c r="F30" s="5">
        <f>Retailer!J27</f>
        <v/>
      </c>
      <c r="G30" s="5">
        <f>Retailer!P27</f>
        <v/>
      </c>
      <c r="H30" s="5">
        <f>Retailer!K27</f>
        <v/>
      </c>
      <c r="I30" s="5">
        <f>Retailer!L27</f>
        <v/>
      </c>
      <c r="J30" s="5">
        <f>Retailer!M27</f>
        <v/>
      </c>
      <c r="K30" s="5">
        <f>Wholesaler!C27</f>
        <v/>
      </c>
      <c r="L30" s="5">
        <f>Wholesaler!D27</f>
        <v/>
      </c>
      <c r="M30" s="5">
        <f>Wholesaler!H27</f>
        <v/>
      </c>
      <c r="N30" s="5">
        <f>Wholesaler!I27</f>
        <v/>
      </c>
      <c r="O30" s="5">
        <f>Wholesaler!J27</f>
        <v/>
      </c>
      <c r="P30" s="5">
        <f>Wholesaler!P27</f>
        <v/>
      </c>
      <c r="Q30" s="5">
        <f>Wholesaler!K27</f>
        <v/>
      </c>
      <c r="R30" s="5">
        <f>Wholesaler!L27</f>
        <v/>
      </c>
      <c r="S30" s="5">
        <f>Wholesaler!M27</f>
        <v/>
      </c>
      <c r="T30" s="5">
        <f>Distributor!C27</f>
        <v/>
      </c>
      <c r="U30" s="5">
        <f>Distributor!D27</f>
        <v/>
      </c>
      <c r="V30" s="5">
        <f>Distributor!H27</f>
        <v/>
      </c>
      <c r="W30" s="5">
        <f>Distributor!I27</f>
        <v/>
      </c>
      <c r="X30" s="5">
        <f>Distributor!J27</f>
        <v/>
      </c>
      <c r="Y30" s="5">
        <f>Distributor!P27</f>
        <v/>
      </c>
      <c r="Z30" s="5">
        <f>Distributor!K27</f>
        <v/>
      </c>
      <c r="AA30" s="5">
        <f>Distributor!L27</f>
        <v/>
      </c>
      <c r="AB30" s="5">
        <f>Distributor!M27</f>
        <v/>
      </c>
      <c r="AC30" s="5">
        <f>Factory!C27</f>
        <v/>
      </c>
      <c r="AD30" s="5">
        <f>Factory!D27</f>
        <v/>
      </c>
      <c r="AE30" s="5">
        <f>Factory!H27</f>
        <v/>
      </c>
      <c r="AF30" s="5">
        <f>Factory!I27</f>
        <v/>
      </c>
      <c r="AG30" s="5">
        <f>Factory!J27</f>
        <v/>
      </c>
      <c r="AH30" s="5">
        <f>Factory!P27</f>
        <v/>
      </c>
      <c r="AI30" s="5">
        <f>Factory!K27</f>
        <v/>
      </c>
      <c r="AJ30" s="5">
        <f>Factory!L27</f>
        <v/>
      </c>
      <c r="AK30" s="5">
        <f>Factory!M27</f>
        <v/>
      </c>
      <c r="AL30" s="5">
        <f>SUM(J30,S30,AB30,AK30)</f>
        <v/>
      </c>
      <c r="AM30" s="5">
        <f>AM29+AL30</f>
        <v/>
      </c>
    </row>
    <row r="31">
      <c r="A31" s="5" t="n">
        <v>27</v>
      </c>
      <c r="B31" s="5">
        <f>Retailer!C28</f>
        <v/>
      </c>
      <c r="C31" s="5">
        <f>Retailer!D28</f>
        <v/>
      </c>
      <c r="D31" s="5">
        <f>Retailer!H28</f>
        <v/>
      </c>
      <c r="E31" s="5">
        <f>Retailer!I28</f>
        <v/>
      </c>
      <c r="F31" s="5">
        <f>Retailer!J28</f>
        <v/>
      </c>
      <c r="G31" s="5">
        <f>Retailer!P28</f>
        <v/>
      </c>
      <c r="H31" s="5">
        <f>Retailer!K28</f>
        <v/>
      </c>
      <c r="I31" s="5">
        <f>Retailer!L28</f>
        <v/>
      </c>
      <c r="J31" s="5">
        <f>Retailer!M28</f>
        <v/>
      </c>
      <c r="K31" s="5">
        <f>Wholesaler!C28</f>
        <v/>
      </c>
      <c r="L31" s="5">
        <f>Wholesaler!D28</f>
        <v/>
      </c>
      <c r="M31" s="5">
        <f>Wholesaler!H28</f>
        <v/>
      </c>
      <c r="N31" s="5">
        <f>Wholesaler!I28</f>
        <v/>
      </c>
      <c r="O31" s="5">
        <f>Wholesaler!J28</f>
        <v/>
      </c>
      <c r="P31" s="5">
        <f>Wholesaler!P28</f>
        <v/>
      </c>
      <c r="Q31" s="5">
        <f>Wholesaler!K28</f>
        <v/>
      </c>
      <c r="R31" s="5">
        <f>Wholesaler!L28</f>
        <v/>
      </c>
      <c r="S31" s="5">
        <f>Wholesaler!M28</f>
        <v/>
      </c>
      <c r="T31" s="5">
        <f>Distributor!C28</f>
        <v/>
      </c>
      <c r="U31" s="5">
        <f>Distributor!D28</f>
        <v/>
      </c>
      <c r="V31" s="5">
        <f>Distributor!H28</f>
        <v/>
      </c>
      <c r="W31" s="5">
        <f>Distributor!I28</f>
        <v/>
      </c>
      <c r="X31" s="5">
        <f>Distributor!J28</f>
        <v/>
      </c>
      <c r="Y31" s="5">
        <f>Distributor!P28</f>
        <v/>
      </c>
      <c r="Z31" s="5">
        <f>Distributor!K28</f>
        <v/>
      </c>
      <c r="AA31" s="5">
        <f>Distributor!L28</f>
        <v/>
      </c>
      <c r="AB31" s="5">
        <f>Distributor!M28</f>
        <v/>
      </c>
      <c r="AC31" s="5">
        <f>Factory!C28</f>
        <v/>
      </c>
      <c r="AD31" s="5">
        <f>Factory!D28</f>
        <v/>
      </c>
      <c r="AE31" s="5">
        <f>Factory!H28</f>
        <v/>
      </c>
      <c r="AF31" s="5">
        <f>Factory!I28</f>
        <v/>
      </c>
      <c r="AG31" s="5">
        <f>Factory!J28</f>
        <v/>
      </c>
      <c r="AH31" s="5">
        <f>Factory!P28</f>
        <v/>
      </c>
      <c r="AI31" s="5">
        <f>Factory!K28</f>
        <v/>
      </c>
      <c r="AJ31" s="5">
        <f>Factory!L28</f>
        <v/>
      </c>
      <c r="AK31" s="5">
        <f>Factory!M28</f>
        <v/>
      </c>
      <c r="AL31" s="5">
        <f>SUM(J31,S31,AB31,AK31)</f>
        <v/>
      </c>
      <c r="AM31" s="5">
        <f>AM30+AL31</f>
        <v/>
      </c>
    </row>
    <row r="32">
      <c r="A32" s="5" t="n">
        <v>28</v>
      </c>
      <c r="B32" s="5">
        <f>Retailer!C29</f>
        <v/>
      </c>
      <c r="C32" s="5">
        <f>Retailer!D29</f>
        <v/>
      </c>
      <c r="D32" s="5">
        <f>Retailer!H29</f>
        <v/>
      </c>
      <c r="E32" s="5">
        <f>Retailer!I29</f>
        <v/>
      </c>
      <c r="F32" s="5">
        <f>Retailer!J29</f>
        <v/>
      </c>
      <c r="G32" s="5">
        <f>Retailer!P29</f>
        <v/>
      </c>
      <c r="H32" s="5">
        <f>Retailer!K29</f>
        <v/>
      </c>
      <c r="I32" s="5">
        <f>Retailer!L29</f>
        <v/>
      </c>
      <c r="J32" s="5">
        <f>Retailer!M29</f>
        <v/>
      </c>
      <c r="K32" s="5">
        <f>Wholesaler!C29</f>
        <v/>
      </c>
      <c r="L32" s="5">
        <f>Wholesaler!D29</f>
        <v/>
      </c>
      <c r="M32" s="5">
        <f>Wholesaler!H29</f>
        <v/>
      </c>
      <c r="N32" s="5">
        <f>Wholesaler!I29</f>
        <v/>
      </c>
      <c r="O32" s="5">
        <f>Wholesaler!J29</f>
        <v/>
      </c>
      <c r="P32" s="5">
        <f>Wholesaler!P29</f>
        <v/>
      </c>
      <c r="Q32" s="5">
        <f>Wholesaler!K29</f>
        <v/>
      </c>
      <c r="R32" s="5">
        <f>Wholesaler!L29</f>
        <v/>
      </c>
      <c r="S32" s="5">
        <f>Wholesaler!M29</f>
        <v/>
      </c>
      <c r="T32" s="5">
        <f>Distributor!C29</f>
        <v/>
      </c>
      <c r="U32" s="5">
        <f>Distributor!D29</f>
        <v/>
      </c>
      <c r="V32" s="5">
        <f>Distributor!H29</f>
        <v/>
      </c>
      <c r="W32" s="5">
        <f>Distributor!I29</f>
        <v/>
      </c>
      <c r="X32" s="5">
        <f>Distributor!J29</f>
        <v/>
      </c>
      <c r="Y32" s="5">
        <f>Distributor!P29</f>
        <v/>
      </c>
      <c r="Z32" s="5">
        <f>Distributor!K29</f>
        <v/>
      </c>
      <c r="AA32" s="5">
        <f>Distributor!L29</f>
        <v/>
      </c>
      <c r="AB32" s="5">
        <f>Distributor!M29</f>
        <v/>
      </c>
      <c r="AC32" s="5">
        <f>Factory!C29</f>
        <v/>
      </c>
      <c r="AD32" s="5">
        <f>Factory!D29</f>
        <v/>
      </c>
      <c r="AE32" s="5">
        <f>Factory!H29</f>
        <v/>
      </c>
      <c r="AF32" s="5">
        <f>Factory!I29</f>
        <v/>
      </c>
      <c r="AG32" s="5">
        <f>Factory!J29</f>
        <v/>
      </c>
      <c r="AH32" s="5">
        <f>Factory!P29</f>
        <v/>
      </c>
      <c r="AI32" s="5">
        <f>Factory!K29</f>
        <v/>
      </c>
      <c r="AJ32" s="5">
        <f>Factory!L29</f>
        <v/>
      </c>
      <c r="AK32" s="5">
        <f>Factory!M29</f>
        <v/>
      </c>
      <c r="AL32" s="5">
        <f>SUM(J32,S32,AB32,AK32)</f>
        <v/>
      </c>
      <c r="AM32" s="5">
        <f>AM31+AL32</f>
        <v/>
      </c>
    </row>
    <row r="33">
      <c r="A33" s="5" t="n">
        <v>29</v>
      </c>
      <c r="B33" s="5">
        <f>Retailer!C30</f>
        <v/>
      </c>
      <c r="C33" s="5">
        <f>Retailer!D30</f>
        <v/>
      </c>
      <c r="D33" s="5">
        <f>Retailer!H30</f>
        <v/>
      </c>
      <c r="E33" s="5">
        <f>Retailer!I30</f>
        <v/>
      </c>
      <c r="F33" s="5">
        <f>Retailer!J30</f>
        <v/>
      </c>
      <c r="G33" s="5">
        <f>Retailer!P30</f>
        <v/>
      </c>
      <c r="H33" s="5">
        <f>Retailer!K30</f>
        <v/>
      </c>
      <c r="I33" s="5">
        <f>Retailer!L30</f>
        <v/>
      </c>
      <c r="J33" s="5">
        <f>Retailer!M30</f>
        <v/>
      </c>
      <c r="K33" s="5">
        <f>Wholesaler!C30</f>
        <v/>
      </c>
      <c r="L33" s="5">
        <f>Wholesaler!D30</f>
        <v/>
      </c>
      <c r="M33" s="5">
        <f>Wholesaler!H30</f>
        <v/>
      </c>
      <c r="N33" s="5">
        <f>Wholesaler!I30</f>
        <v/>
      </c>
      <c r="O33" s="5">
        <f>Wholesaler!J30</f>
        <v/>
      </c>
      <c r="P33" s="5">
        <f>Wholesaler!P30</f>
        <v/>
      </c>
      <c r="Q33" s="5">
        <f>Wholesaler!K30</f>
        <v/>
      </c>
      <c r="R33" s="5">
        <f>Wholesaler!L30</f>
        <v/>
      </c>
      <c r="S33" s="5">
        <f>Wholesaler!M30</f>
        <v/>
      </c>
      <c r="T33" s="5">
        <f>Distributor!C30</f>
        <v/>
      </c>
      <c r="U33" s="5">
        <f>Distributor!D30</f>
        <v/>
      </c>
      <c r="V33" s="5">
        <f>Distributor!H30</f>
        <v/>
      </c>
      <c r="W33" s="5">
        <f>Distributor!I30</f>
        <v/>
      </c>
      <c r="X33" s="5">
        <f>Distributor!J30</f>
        <v/>
      </c>
      <c r="Y33" s="5">
        <f>Distributor!P30</f>
        <v/>
      </c>
      <c r="Z33" s="5">
        <f>Distributor!K30</f>
        <v/>
      </c>
      <c r="AA33" s="5">
        <f>Distributor!L30</f>
        <v/>
      </c>
      <c r="AB33" s="5">
        <f>Distributor!M30</f>
        <v/>
      </c>
      <c r="AC33" s="5">
        <f>Factory!C30</f>
        <v/>
      </c>
      <c r="AD33" s="5">
        <f>Factory!D30</f>
        <v/>
      </c>
      <c r="AE33" s="5">
        <f>Factory!H30</f>
        <v/>
      </c>
      <c r="AF33" s="5">
        <f>Factory!I30</f>
        <v/>
      </c>
      <c r="AG33" s="5">
        <f>Factory!J30</f>
        <v/>
      </c>
      <c r="AH33" s="5">
        <f>Factory!P30</f>
        <v/>
      </c>
      <c r="AI33" s="5">
        <f>Factory!K30</f>
        <v/>
      </c>
      <c r="AJ33" s="5">
        <f>Factory!L30</f>
        <v/>
      </c>
      <c r="AK33" s="5">
        <f>Factory!M30</f>
        <v/>
      </c>
      <c r="AL33" s="5">
        <f>SUM(J33,S33,AB33,AK33)</f>
        <v/>
      </c>
      <c r="AM33" s="5">
        <f>AM32+AL33</f>
        <v/>
      </c>
    </row>
    <row r="34">
      <c r="A34" s="5" t="n">
        <v>30</v>
      </c>
      <c r="B34" s="5">
        <f>Retailer!C31</f>
        <v/>
      </c>
      <c r="C34" s="5">
        <f>Retailer!D31</f>
        <v/>
      </c>
      <c r="D34" s="5">
        <f>Retailer!H31</f>
        <v/>
      </c>
      <c r="E34" s="5">
        <f>Retailer!I31</f>
        <v/>
      </c>
      <c r="F34" s="5">
        <f>Retailer!J31</f>
        <v/>
      </c>
      <c r="G34" s="5">
        <f>Retailer!P31</f>
        <v/>
      </c>
      <c r="H34" s="5">
        <f>Retailer!K31</f>
        <v/>
      </c>
      <c r="I34" s="5">
        <f>Retailer!L31</f>
        <v/>
      </c>
      <c r="J34" s="5">
        <f>Retailer!M31</f>
        <v/>
      </c>
      <c r="K34" s="5">
        <f>Wholesaler!C31</f>
        <v/>
      </c>
      <c r="L34" s="5">
        <f>Wholesaler!D31</f>
        <v/>
      </c>
      <c r="M34" s="5">
        <f>Wholesaler!H31</f>
        <v/>
      </c>
      <c r="N34" s="5">
        <f>Wholesaler!I31</f>
        <v/>
      </c>
      <c r="O34" s="5">
        <f>Wholesaler!J31</f>
        <v/>
      </c>
      <c r="P34" s="5">
        <f>Wholesaler!P31</f>
        <v/>
      </c>
      <c r="Q34" s="5">
        <f>Wholesaler!K31</f>
        <v/>
      </c>
      <c r="R34" s="5">
        <f>Wholesaler!L31</f>
        <v/>
      </c>
      <c r="S34" s="5">
        <f>Wholesaler!M31</f>
        <v/>
      </c>
      <c r="T34" s="5">
        <f>Distributor!C31</f>
        <v/>
      </c>
      <c r="U34" s="5">
        <f>Distributor!D31</f>
        <v/>
      </c>
      <c r="V34" s="5">
        <f>Distributor!H31</f>
        <v/>
      </c>
      <c r="W34" s="5">
        <f>Distributor!I31</f>
        <v/>
      </c>
      <c r="X34" s="5">
        <f>Distributor!J31</f>
        <v/>
      </c>
      <c r="Y34" s="5">
        <f>Distributor!P31</f>
        <v/>
      </c>
      <c r="Z34" s="5">
        <f>Distributor!K31</f>
        <v/>
      </c>
      <c r="AA34" s="5">
        <f>Distributor!L31</f>
        <v/>
      </c>
      <c r="AB34" s="5">
        <f>Distributor!M31</f>
        <v/>
      </c>
      <c r="AC34" s="5">
        <f>Factory!C31</f>
        <v/>
      </c>
      <c r="AD34" s="5">
        <f>Factory!D31</f>
        <v/>
      </c>
      <c r="AE34" s="5">
        <f>Factory!H31</f>
        <v/>
      </c>
      <c r="AF34" s="5">
        <f>Factory!I31</f>
        <v/>
      </c>
      <c r="AG34" s="5">
        <f>Factory!J31</f>
        <v/>
      </c>
      <c r="AH34" s="5">
        <f>Factory!P31</f>
        <v/>
      </c>
      <c r="AI34" s="5">
        <f>Factory!K31</f>
        <v/>
      </c>
      <c r="AJ34" s="5">
        <f>Factory!L31</f>
        <v/>
      </c>
      <c r="AK34" s="5">
        <f>Factory!M31</f>
        <v/>
      </c>
      <c r="AL34" s="5">
        <f>SUM(J34,S34,AB34,AK34)</f>
        <v/>
      </c>
      <c r="AM34" s="5">
        <f>AM33+AL34</f>
        <v/>
      </c>
    </row>
    <row r="35">
      <c r="A35" s="5" t="n">
        <v>31</v>
      </c>
      <c r="B35" s="5">
        <f>Retailer!C32</f>
        <v/>
      </c>
      <c r="C35" s="5">
        <f>Retailer!D32</f>
        <v/>
      </c>
      <c r="D35" s="5">
        <f>Retailer!H32</f>
        <v/>
      </c>
      <c r="E35" s="5">
        <f>Retailer!I32</f>
        <v/>
      </c>
      <c r="F35" s="5">
        <f>Retailer!J32</f>
        <v/>
      </c>
      <c r="G35" s="5">
        <f>Retailer!P32</f>
        <v/>
      </c>
      <c r="H35" s="5">
        <f>Retailer!K32</f>
        <v/>
      </c>
      <c r="I35" s="5">
        <f>Retailer!L32</f>
        <v/>
      </c>
      <c r="J35" s="5">
        <f>Retailer!M32</f>
        <v/>
      </c>
      <c r="K35" s="5">
        <f>Wholesaler!C32</f>
        <v/>
      </c>
      <c r="L35" s="5">
        <f>Wholesaler!D32</f>
        <v/>
      </c>
      <c r="M35" s="5">
        <f>Wholesaler!H32</f>
        <v/>
      </c>
      <c r="N35" s="5">
        <f>Wholesaler!I32</f>
        <v/>
      </c>
      <c r="O35" s="5">
        <f>Wholesaler!J32</f>
        <v/>
      </c>
      <c r="P35" s="5">
        <f>Wholesaler!P32</f>
        <v/>
      </c>
      <c r="Q35" s="5">
        <f>Wholesaler!K32</f>
        <v/>
      </c>
      <c r="R35" s="5">
        <f>Wholesaler!L32</f>
        <v/>
      </c>
      <c r="S35" s="5">
        <f>Wholesaler!M32</f>
        <v/>
      </c>
      <c r="T35" s="5">
        <f>Distributor!C32</f>
        <v/>
      </c>
      <c r="U35" s="5">
        <f>Distributor!D32</f>
        <v/>
      </c>
      <c r="V35" s="5">
        <f>Distributor!H32</f>
        <v/>
      </c>
      <c r="W35" s="5">
        <f>Distributor!I32</f>
        <v/>
      </c>
      <c r="X35" s="5">
        <f>Distributor!J32</f>
        <v/>
      </c>
      <c r="Y35" s="5">
        <f>Distributor!P32</f>
        <v/>
      </c>
      <c r="Z35" s="5">
        <f>Distributor!K32</f>
        <v/>
      </c>
      <c r="AA35" s="5">
        <f>Distributor!L32</f>
        <v/>
      </c>
      <c r="AB35" s="5">
        <f>Distributor!M32</f>
        <v/>
      </c>
      <c r="AC35" s="5">
        <f>Factory!C32</f>
        <v/>
      </c>
      <c r="AD35" s="5">
        <f>Factory!D32</f>
        <v/>
      </c>
      <c r="AE35" s="5">
        <f>Factory!H32</f>
        <v/>
      </c>
      <c r="AF35" s="5">
        <f>Factory!I32</f>
        <v/>
      </c>
      <c r="AG35" s="5">
        <f>Factory!J32</f>
        <v/>
      </c>
      <c r="AH35" s="5">
        <f>Factory!P32</f>
        <v/>
      </c>
      <c r="AI35" s="5">
        <f>Factory!K32</f>
        <v/>
      </c>
      <c r="AJ35" s="5">
        <f>Factory!L32</f>
        <v/>
      </c>
      <c r="AK35" s="5">
        <f>Factory!M32</f>
        <v/>
      </c>
      <c r="AL35" s="5">
        <f>SUM(J35,S35,AB35,AK35)</f>
        <v/>
      </c>
      <c r="AM35" s="5">
        <f>AM34+AL35</f>
        <v/>
      </c>
    </row>
    <row r="36">
      <c r="A36" s="5" t="n">
        <v>32</v>
      </c>
      <c r="B36" s="5">
        <f>Retailer!C33</f>
        <v/>
      </c>
      <c r="C36" s="5">
        <f>Retailer!D33</f>
        <v/>
      </c>
      <c r="D36" s="5">
        <f>Retailer!H33</f>
        <v/>
      </c>
      <c r="E36" s="5">
        <f>Retailer!I33</f>
        <v/>
      </c>
      <c r="F36" s="5">
        <f>Retailer!J33</f>
        <v/>
      </c>
      <c r="G36" s="5">
        <f>Retailer!P33</f>
        <v/>
      </c>
      <c r="H36" s="5">
        <f>Retailer!K33</f>
        <v/>
      </c>
      <c r="I36" s="5">
        <f>Retailer!L33</f>
        <v/>
      </c>
      <c r="J36" s="5">
        <f>Retailer!M33</f>
        <v/>
      </c>
      <c r="K36" s="5">
        <f>Wholesaler!C33</f>
        <v/>
      </c>
      <c r="L36" s="5">
        <f>Wholesaler!D33</f>
        <v/>
      </c>
      <c r="M36" s="5">
        <f>Wholesaler!H33</f>
        <v/>
      </c>
      <c r="N36" s="5">
        <f>Wholesaler!I33</f>
        <v/>
      </c>
      <c r="O36" s="5">
        <f>Wholesaler!J33</f>
        <v/>
      </c>
      <c r="P36" s="5">
        <f>Wholesaler!P33</f>
        <v/>
      </c>
      <c r="Q36" s="5">
        <f>Wholesaler!K33</f>
        <v/>
      </c>
      <c r="R36" s="5">
        <f>Wholesaler!L33</f>
        <v/>
      </c>
      <c r="S36" s="5">
        <f>Wholesaler!M33</f>
        <v/>
      </c>
      <c r="T36" s="5">
        <f>Distributor!C33</f>
        <v/>
      </c>
      <c r="U36" s="5">
        <f>Distributor!D33</f>
        <v/>
      </c>
      <c r="V36" s="5">
        <f>Distributor!H33</f>
        <v/>
      </c>
      <c r="W36" s="5">
        <f>Distributor!I33</f>
        <v/>
      </c>
      <c r="X36" s="5">
        <f>Distributor!J33</f>
        <v/>
      </c>
      <c r="Y36" s="5">
        <f>Distributor!P33</f>
        <v/>
      </c>
      <c r="Z36" s="5">
        <f>Distributor!K33</f>
        <v/>
      </c>
      <c r="AA36" s="5">
        <f>Distributor!L33</f>
        <v/>
      </c>
      <c r="AB36" s="5">
        <f>Distributor!M33</f>
        <v/>
      </c>
      <c r="AC36" s="5">
        <f>Factory!C33</f>
        <v/>
      </c>
      <c r="AD36" s="5">
        <f>Factory!D33</f>
        <v/>
      </c>
      <c r="AE36" s="5">
        <f>Factory!H33</f>
        <v/>
      </c>
      <c r="AF36" s="5">
        <f>Factory!I33</f>
        <v/>
      </c>
      <c r="AG36" s="5">
        <f>Factory!J33</f>
        <v/>
      </c>
      <c r="AH36" s="5">
        <f>Factory!P33</f>
        <v/>
      </c>
      <c r="AI36" s="5">
        <f>Factory!K33</f>
        <v/>
      </c>
      <c r="AJ36" s="5">
        <f>Factory!L33</f>
        <v/>
      </c>
      <c r="AK36" s="5">
        <f>Factory!M33</f>
        <v/>
      </c>
      <c r="AL36" s="5">
        <f>SUM(J36,S36,AB36,AK36)</f>
        <v/>
      </c>
      <c r="AM36" s="5">
        <f>AM35+AL36</f>
        <v/>
      </c>
    </row>
    <row r="37">
      <c r="A37" s="5" t="n">
        <v>33</v>
      </c>
      <c r="B37" s="5">
        <f>Retailer!C34</f>
        <v/>
      </c>
      <c r="C37" s="5">
        <f>Retailer!D34</f>
        <v/>
      </c>
      <c r="D37" s="5">
        <f>Retailer!H34</f>
        <v/>
      </c>
      <c r="E37" s="5">
        <f>Retailer!I34</f>
        <v/>
      </c>
      <c r="F37" s="5">
        <f>Retailer!J34</f>
        <v/>
      </c>
      <c r="G37" s="5">
        <f>Retailer!P34</f>
        <v/>
      </c>
      <c r="H37" s="5">
        <f>Retailer!K34</f>
        <v/>
      </c>
      <c r="I37" s="5">
        <f>Retailer!L34</f>
        <v/>
      </c>
      <c r="J37" s="5">
        <f>Retailer!M34</f>
        <v/>
      </c>
      <c r="K37" s="5">
        <f>Wholesaler!C34</f>
        <v/>
      </c>
      <c r="L37" s="5">
        <f>Wholesaler!D34</f>
        <v/>
      </c>
      <c r="M37" s="5">
        <f>Wholesaler!H34</f>
        <v/>
      </c>
      <c r="N37" s="5">
        <f>Wholesaler!I34</f>
        <v/>
      </c>
      <c r="O37" s="5">
        <f>Wholesaler!J34</f>
        <v/>
      </c>
      <c r="P37" s="5">
        <f>Wholesaler!P34</f>
        <v/>
      </c>
      <c r="Q37" s="5">
        <f>Wholesaler!K34</f>
        <v/>
      </c>
      <c r="R37" s="5">
        <f>Wholesaler!L34</f>
        <v/>
      </c>
      <c r="S37" s="5">
        <f>Wholesaler!M34</f>
        <v/>
      </c>
      <c r="T37" s="5">
        <f>Distributor!C34</f>
        <v/>
      </c>
      <c r="U37" s="5">
        <f>Distributor!D34</f>
        <v/>
      </c>
      <c r="V37" s="5">
        <f>Distributor!H34</f>
        <v/>
      </c>
      <c r="W37" s="5">
        <f>Distributor!I34</f>
        <v/>
      </c>
      <c r="X37" s="5">
        <f>Distributor!J34</f>
        <v/>
      </c>
      <c r="Y37" s="5">
        <f>Distributor!P34</f>
        <v/>
      </c>
      <c r="Z37" s="5">
        <f>Distributor!K34</f>
        <v/>
      </c>
      <c r="AA37" s="5">
        <f>Distributor!L34</f>
        <v/>
      </c>
      <c r="AB37" s="5">
        <f>Distributor!M34</f>
        <v/>
      </c>
      <c r="AC37" s="5">
        <f>Factory!C34</f>
        <v/>
      </c>
      <c r="AD37" s="5">
        <f>Factory!D34</f>
        <v/>
      </c>
      <c r="AE37" s="5">
        <f>Factory!H34</f>
        <v/>
      </c>
      <c r="AF37" s="5">
        <f>Factory!I34</f>
        <v/>
      </c>
      <c r="AG37" s="5">
        <f>Factory!J34</f>
        <v/>
      </c>
      <c r="AH37" s="5">
        <f>Factory!P34</f>
        <v/>
      </c>
      <c r="AI37" s="5">
        <f>Factory!K34</f>
        <v/>
      </c>
      <c r="AJ37" s="5">
        <f>Factory!L34</f>
        <v/>
      </c>
      <c r="AK37" s="5">
        <f>Factory!M34</f>
        <v/>
      </c>
      <c r="AL37" s="5">
        <f>SUM(J37,S37,AB37,AK37)</f>
        <v/>
      </c>
      <c r="AM37" s="5">
        <f>AM36+AL37</f>
        <v/>
      </c>
    </row>
    <row r="38">
      <c r="A38" s="5" t="n">
        <v>34</v>
      </c>
      <c r="B38" s="5">
        <f>Retailer!C35</f>
        <v/>
      </c>
      <c r="C38" s="5">
        <f>Retailer!D35</f>
        <v/>
      </c>
      <c r="D38" s="5">
        <f>Retailer!H35</f>
        <v/>
      </c>
      <c r="E38" s="5">
        <f>Retailer!I35</f>
        <v/>
      </c>
      <c r="F38" s="5">
        <f>Retailer!J35</f>
        <v/>
      </c>
      <c r="G38" s="5">
        <f>Retailer!P35</f>
        <v/>
      </c>
      <c r="H38" s="5">
        <f>Retailer!K35</f>
        <v/>
      </c>
      <c r="I38" s="5">
        <f>Retailer!L35</f>
        <v/>
      </c>
      <c r="J38" s="5">
        <f>Retailer!M35</f>
        <v/>
      </c>
      <c r="K38" s="5">
        <f>Wholesaler!C35</f>
        <v/>
      </c>
      <c r="L38" s="5">
        <f>Wholesaler!D35</f>
        <v/>
      </c>
      <c r="M38" s="5">
        <f>Wholesaler!H35</f>
        <v/>
      </c>
      <c r="N38" s="5">
        <f>Wholesaler!I35</f>
        <v/>
      </c>
      <c r="O38" s="5">
        <f>Wholesaler!J35</f>
        <v/>
      </c>
      <c r="P38" s="5">
        <f>Wholesaler!P35</f>
        <v/>
      </c>
      <c r="Q38" s="5">
        <f>Wholesaler!K35</f>
        <v/>
      </c>
      <c r="R38" s="5">
        <f>Wholesaler!L35</f>
        <v/>
      </c>
      <c r="S38" s="5">
        <f>Wholesaler!M35</f>
        <v/>
      </c>
      <c r="T38" s="5">
        <f>Distributor!C35</f>
        <v/>
      </c>
      <c r="U38" s="5">
        <f>Distributor!D35</f>
        <v/>
      </c>
      <c r="V38" s="5">
        <f>Distributor!H35</f>
        <v/>
      </c>
      <c r="W38" s="5">
        <f>Distributor!I35</f>
        <v/>
      </c>
      <c r="X38" s="5">
        <f>Distributor!J35</f>
        <v/>
      </c>
      <c r="Y38" s="5">
        <f>Distributor!P35</f>
        <v/>
      </c>
      <c r="Z38" s="5">
        <f>Distributor!K35</f>
        <v/>
      </c>
      <c r="AA38" s="5">
        <f>Distributor!L35</f>
        <v/>
      </c>
      <c r="AB38" s="5">
        <f>Distributor!M35</f>
        <v/>
      </c>
      <c r="AC38" s="5">
        <f>Factory!C35</f>
        <v/>
      </c>
      <c r="AD38" s="5">
        <f>Factory!D35</f>
        <v/>
      </c>
      <c r="AE38" s="5">
        <f>Factory!H35</f>
        <v/>
      </c>
      <c r="AF38" s="5">
        <f>Factory!I35</f>
        <v/>
      </c>
      <c r="AG38" s="5">
        <f>Factory!J35</f>
        <v/>
      </c>
      <c r="AH38" s="5">
        <f>Factory!P35</f>
        <v/>
      </c>
      <c r="AI38" s="5">
        <f>Factory!K35</f>
        <v/>
      </c>
      <c r="AJ38" s="5">
        <f>Factory!L35</f>
        <v/>
      </c>
      <c r="AK38" s="5">
        <f>Factory!M35</f>
        <v/>
      </c>
      <c r="AL38" s="5">
        <f>SUM(J38,S38,AB38,AK38)</f>
        <v/>
      </c>
      <c r="AM38" s="5">
        <f>AM37+AL38</f>
        <v/>
      </c>
    </row>
    <row r="39">
      <c r="A39" s="5" t="n">
        <v>35</v>
      </c>
      <c r="B39" s="5">
        <f>Retailer!C36</f>
        <v/>
      </c>
      <c r="C39" s="5">
        <f>Retailer!D36</f>
        <v/>
      </c>
      <c r="D39" s="5">
        <f>Retailer!H36</f>
        <v/>
      </c>
      <c r="E39" s="5">
        <f>Retailer!I36</f>
        <v/>
      </c>
      <c r="F39" s="5">
        <f>Retailer!J36</f>
        <v/>
      </c>
      <c r="G39" s="5">
        <f>Retailer!P36</f>
        <v/>
      </c>
      <c r="H39" s="5">
        <f>Retailer!K36</f>
        <v/>
      </c>
      <c r="I39" s="5">
        <f>Retailer!L36</f>
        <v/>
      </c>
      <c r="J39" s="5">
        <f>Retailer!M36</f>
        <v/>
      </c>
      <c r="K39" s="5">
        <f>Wholesaler!C36</f>
        <v/>
      </c>
      <c r="L39" s="5">
        <f>Wholesaler!D36</f>
        <v/>
      </c>
      <c r="M39" s="5">
        <f>Wholesaler!H36</f>
        <v/>
      </c>
      <c r="N39" s="5">
        <f>Wholesaler!I36</f>
        <v/>
      </c>
      <c r="O39" s="5">
        <f>Wholesaler!J36</f>
        <v/>
      </c>
      <c r="P39" s="5">
        <f>Wholesaler!P36</f>
        <v/>
      </c>
      <c r="Q39" s="5">
        <f>Wholesaler!K36</f>
        <v/>
      </c>
      <c r="R39" s="5">
        <f>Wholesaler!L36</f>
        <v/>
      </c>
      <c r="S39" s="5">
        <f>Wholesaler!M36</f>
        <v/>
      </c>
      <c r="T39" s="5">
        <f>Distributor!C36</f>
        <v/>
      </c>
      <c r="U39" s="5">
        <f>Distributor!D36</f>
        <v/>
      </c>
      <c r="V39" s="5">
        <f>Distributor!H36</f>
        <v/>
      </c>
      <c r="W39" s="5">
        <f>Distributor!I36</f>
        <v/>
      </c>
      <c r="X39" s="5">
        <f>Distributor!J36</f>
        <v/>
      </c>
      <c r="Y39" s="5">
        <f>Distributor!P36</f>
        <v/>
      </c>
      <c r="Z39" s="5">
        <f>Distributor!K36</f>
        <v/>
      </c>
      <c r="AA39" s="5">
        <f>Distributor!L36</f>
        <v/>
      </c>
      <c r="AB39" s="5">
        <f>Distributor!M36</f>
        <v/>
      </c>
      <c r="AC39" s="5">
        <f>Factory!C36</f>
        <v/>
      </c>
      <c r="AD39" s="5">
        <f>Factory!D36</f>
        <v/>
      </c>
      <c r="AE39" s="5">
        <f>Factory!H36</f>
        <v/>
      </c>
      <c r="AF39" s="5">
        <f>Factory!I36</f>
        <v/>
      </c>
      <c r="AG39" s="5">
        <f>Factory!J36</f>
        <v/>
      </c>
      <c r="AH39" s="5">
        <f>Factory!P36</f>
        <v/>
      </c>
      <c r="AI39" s="5">
        <f>Factory!K36</f>
        <v/>
      </c>
      <c r="AJ39" s="5">
        <f>Factory!L36</f>
        <v/>
      </c>
      <c r="AK39" s="5">
        <f>Factory!M36</f>
        <v/>
      </c>
      <c r="AL39" s="5">
        <f>SUM(J39,S39,AB39,AK39)</f>
        <v/>
      </c>
      <c r="AM39" s="5">
        <f>AM38+AL39</f>
        <v/>
      </c>
    </row>
  </sheetData>
  <mergeCells count="6">
    <mergeCell ref="B3:J3"/>
    <mergeCell ref="AL3:AM3"/>
    <mergeCell ref="A3:A4"/>
    <mergeCell ref="T3:AB3"/>
    <mergeCell ref="K3:S3"/>
    <mergeCell ref="AC3:A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2026-02-24T04:46:23Z</dcterms:created>
  <dcterms:modified xsi:type="dcterms:W3CDTF">2026-02-24T04:46:23Z</dcterms:modified>
</cp:coreProperties>
</file>